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VIEMBRE 2025" sheetId="1" r:id="rId5"/>
    <sheet name="DICIEMBRE 2025" sheetId="2" r:id="rId6"/>
    <sheet name="ENERO 2026" sheetId="3" r:id="rId7"/>
    <sheet name="FEBRERO 2026" sheetId="4" r:id="rId8"/>
    <sheet name="MARZO 2026" sheetId="5" r:id="rId9"/>
    <sheet name="ABRIL 2026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<sst xmlns="http://schemas.openxmlformats.org/spreadsheetml/2006/main" uniqueCount="496">
  <si>
    <t>OCCALISTHENICSMX</t>
  </si>
  <si>
    <t>NOMBRE</t>
  </si>
  <si>
    <t>MEMBRESIA</t>
  </si>
  <si>
    <t>COSTO PLAN</t>
  </si>
  <si>
    <t>TIPO DE PLAN</t>
  </si>
  <si>
    <t>SAUNA</t>
  </si>
  <si>
    <t>OPEN GYM</t>
  </si>
  <si>
    <t>5 VISITAS</t>
  </si>
  <si>
    <t>CLASES</t>
  </si>
  <si>
    <t>CLASES POR DIA</t>
  </si>
  <si>
    <t>TOÑITO OSNAYA</t>
  </si>
  <si>
    <t>PLAN OC</t>
  </si>
  <si>
    <t>✅</t>
  </si>
  <si>
    <t>❌</t>
  </si>
  <si>
    <t>TODAS</t>
  </si>
  <si>
    <t>UNA</t>
  </si>
  <si>
    <t>LIRIA VILLEGAS</t>
  </si>
  <si>
    <t>VALERIA QUINTANA</t>
  </si>
  <si>
    <t>ARLETTE ROMÁN</t>
  </si>
  <si>
    <t>FERNANDA ALVA</t>
  </si>
  <si>
    <t>PEDRO FLORES</t>
  </si>
  <si>
    <t>LUIS ALBERTO</t>
  </si>
  <si>
    <t>URIEL. CARDIEL</t>
  </si>
  <si>
    <t>WELLHUB</t>
  </si>
  <si>
    <t>EDIT</t>
  </si>
  <si>
    <t>X</t>
  </si>
  <si>
    <t>12 CLASES</t>
  </si>
  <si>
    <t>RODRIGO ALVA</t>
  </si>
  <si>
    <t>BETTY</t>
  </si>
  <si>
    <t>HÉCTOR NIETO</t>
  </si>
  <si>
    <t>TOTAL</t>
  </si>
  <si>
    <t>CLASE</t>
  </si>
  <si>
    <t>VALERIA MENA</t>
  </si>
  <si>
    <t>POR CLASE</t>
  </si>
  <si>
    <t xml:space="preserve"> $ POR CLASE</t>
  </si>
  <si>
    <t>APRIL</t>
  </si>
  <si>
    <t xml:space="preserve">WELLHUB.        WELLHUB.        WELLHUB.       WELLHUB.        WELLHUB.         WELLHUB.         WELLHUB.      WELLHUB   </t>
  </si>
  <si>
    <t>URIEL CARDIEL</t>
  </si>
  <si>
    <t>POR CHECK IN</t>
  </si>
  <si>
    <t>JUMPING</t>
  </si>
  <si>
    <t>MILCA.    MILCA.    MILCA.     MILCA.    MILCA.     MILCA.       MILCA.      MILCA.     MILCA.     MILCA.       MILCA</t>
  </si>
  <si>
    <t>PRIMA CHARLIE</t>
  </si>
  <si>
    <t>ESTHER</t>
  </si>
  <si>
    <t>HERMANA LIRIA</t>
  </si>
  <si>
    <t>AMIGA CYNTHIA</t>
  </si>
  <si>
    <t>CYNTHIA JUÁREZ PEREZ</t>
  </si>
  <si>
    <t>ANGELINA HERNÁNDEZ GARCIA</t>
  </si>
  <si>
    <t>ALEJANDRA CUELLAR</t>
  </si>
  <si>
    <t>ARYA CUELLAR</t>
  </si>
  <si>
    <t>PATRICIO CUELLAR</t>
  </si>
  <si>
    <t>ZULEIKA DE ZENTENO</t>
  </si>
  <si>
    <t>DANIEL ALBERTANO. ZENTENO</t>
  </si>
  <si>
    <t>NICOLE ZENTENO</t>
  </si>
  <si>
    <t>CLASES TOMADAS</t>
  </si>
  <si>
    <t>A cuenta</t>
  </si>
  <si>
    <t>EDITH 12</t>
  </si>
  <si>
    <t>BETTY 12</t>
  </si>
  <si>
    <t>V3</t>
  </si>
  <si>
    <t>Amiga Milka</t>
  </si>
  <si>
    <t>Amiga Cynthia</t>
  </si>
  <si>
    <t>CLASES PAGADAS/NO PAGADAS DE COACHES SEMANA 1</t>
  </si>
  <si>
    <t>LUNES 03</t>
  </si>
  <si>
    <t>MARTES 04</t>
  </si>
  <si>
    <t>MIÉRCOLES. 05</t>
  </si>
  <si>
    <t>JUEVES. 06</t>
  </si>
  <si>
    <t>VIERNES. 07</t>
  </si>
  <si>
    <t>SABADO. 08</t>
  </si>
  <si>
    <t>CLASES PAGADAS</t>
  </si>
  <si>
    <t>CLASES PENDIENTES</t>
  </si>
  <si>
    <t>CLASES DEMO</t>
  </si>
  <si>
    <t>Milka</t>
  </si>
  <si>
    <t>Amiga cynthia</t>
  </si>
  <si>
    <t>Asistencias. SEMANA 1</t>
  </si>
  <si>
    <t>Jose angel</t>
  </si>
  <si>
    <t>Amiga milka</t>
  </si>
  <si>
    <t>Amigo de Toño</t>
  </si>
  <si>
    <t>Asistencias. SEMANA 2</t>
  </si>
  <si>
    <t>LUNES 10</t>
  </si>
  <si>
    <t>MARTES 11</t>
  </si>
  <si>
    <t>MIÉRCOLES. 12</t>
  </si>
  <si>
    <t>JUEVES. 13</t>
  </si>
  <si>
    <t>VIERNES.  14</t>
  </si>
  <si>
    <t>SABADO. 15</t>
  </si>
  <si>
    <t>CLASES PAGADAS/NO PAGADAS DE COACHES SEMANA 2</t>
  </si>
  <si>
    <t>Asistencias. SEMANA 3</t>
  </si>
  <si>
    <t>LUNES 17</t>
  </si>
  <si>
    <t>MARTES 18</t>
  </si>
  <si>
    <t>MIÉRCOLES. 19</t>
  </si>
  <si>
    <t>JUEVES. 20</t>
  </si>
  <si>
    <t>VIERNES.  21</t>
  </si>
  <si>
    <t>SABADO. 22</t>
  </si>
  <si>
    <t>ALEJANDRA GARCIA</t>
  </si>
  <si>
    <t>CLASES PAGADAS/NO PAGADAS DE COACHES SEMANA 3</t>
  </si>
  <si>
    <t>ANGELINA HERNANDEZ</t>
  </si>
  <si>
    <t>Asistencias. SEMANA 4</t>
  </si>
  <si>
    <t>LUNES 24</t>
  </si>
  <si>
    <t>MARTES 25</t>
  </si>
  <si>
    <t>MIÉRCOLES 26</t>
  </si>
  <si>
    <t>JUEVES. 27</t>
  </si>
  <si>
    <t>VIERNES. 28</t>
  </si>
  <si>
    <t>SABADO 29</t>
  </si>
  <si>
    <t>PATRICIA RAMÍREZ</t>
  </si>
  <si>
    <t>INVITADOS</t>
  </si>
  <si>
    <t>CLASES PAGADAS/NO PAGADAS DE COACHES SEMANA 4</t>
  </si>
  <si>
    <t>CLASES PAGADAS/NO PAGADAS DE COACHES SEMANA 5</t>
  </si>
  <si>
    <t>LUNES31</t>
  </si>
  <si>
    <t>MARTES</t>
  </si>
  <si>
    <t xml:space="preserve">MIÉRCOLES </t>
  </si>
  <si>
    <t xml:space="preserve">JUEVES </t>
  </si>
  <si>
    <t>OSVALDO</t>
  </si>
  <si>
    <t>MENSUAL</t>
  </si>
  <si>
    <t>TOTAL NETO</t>
  </si>
  <si>
    <t>DANIELA RAMÍREZ</t>
  </si>
  <si>
    <t>ANDREA RODRÍGUEZ</t>
  </si>
  <si>
    <t>TOTAL WELLHUB</t>
  </si>
  <si>
    <t>CARLOS ERNESTO</t>
  </si>
  <si>
    <t>TOTAL CLASES</t>
  </si>
  <si>
    <t>OCTUBRE</t>
  </si>
  <si>
    <t>NOVIEMBRE</t>
  </si>
  <si>
    <t>DICIEMBRE</t>
  </si>
  <si>
    <t>V0</t>
  </si>
  <si>
    <t xml:space="preserve">DANIELA RAMÍREZ </t>
  </si>
  <si>
    <t>LUNES 01</t>
  </si>
  <si>
    <t>MARTES 02</t>
  </si>
  <si>
    <t>MIÉRCOLES. 03</t>
  </si>
  <si>
    <t>JUEVES. 04</t>
  </si>
  <si>
    <t>VIERNES. 05</t>
  </si>
  <si>
    <t>SABADO. 06</t>
  </si>
  <si>
    <t>LUNES 08</t>
  </si>
  <si>
    <t>MARTES 09</t>
  </si>
  <si>
    <t>MIÉRCOLES. 10</t>
  </si>
  <si>
    <t>JUEVES. 11</t>
  </si>
  <si>
    <t>VIERNES.  12</t>
  </si>
  <si>
    <t>SABADO. 13</t>
  </si>
  <si>
    <t>LUNES 15</t>
  </si>
  <si>
    <t>MARTES 16</t>
  </si>
  <si>
    <t>MIÉRCOLES. 17</t>
  </si>
  <si>
    <t>JUEVES. 18</t>
  </si>
  <si>
    <t>VIERNES.  19</t>
  </si>
  <si>
    <t>SABADO. 20</t>
  </si>
  <si>
    <t xml:space="preserve">OSVALDO </t>
  </si>
  <si>
    <t>LUNES 22</t>
  </si>
  <si>
    <t>MARTES 23</t>
  </si>
  <si>
    <t>MIÉRCOLES 24</t>
  </si>
  <si>
    <t>JUEVES. 25</t>
  </si>
  <si>
    <t>VIERNES. 26</t>
  </si>
  <si>
    <t>SABADO 27</t>
  </si>
  <si>
    <t>LUNES 29</t>
  </si>
  <si>
    <t>MARTES 30</t>
  </si>
  <si>
    <t>MIÉRCOLES 31</t>
  </si>
  <si>
    <t>CLASES PAGADAS/NO PAGADAS DE COACHES SEMANA 4-1</t>
  </si>
  <si>
    <t>ENERO</t>
  </si>
  <si>
    <t>Visitas</t>
  </si>
  <si>
    <t>VERO JUÁREZ</t>
  </si>
  <si>
    <t>MIGUEL MARROQUÍN</t>
  </si>
  <si>
    <t>IRMA GARCÍA</t>
  </si>
  <si>
    <t>ELENA</t>
  </si>
  <si>
    <t>MARIA NAVARRO LARA</t>
  </si>
  <si>
    <t>FINALIZA PLAN</t>
  </si>
  <si>
    <t>SEPTIEMBRE</t>
  </si>
  <si>
    <t>VISITAS</t>
  </si>
  <si>
    <t xml:space="preserve">NUTRICIÓN </t>
  </si>
  <si>
    <t>PAGADA</t>
  </si>
  <si>
    <t>19 ENERO</t>
  </si>
  <si>
    <t>SEMESTRAL</t>
  </si>
  <si>
    <t>19 Julio</t>
  </si>
  <si>
    <t xml:space="preserve">3 NOVIEMBRE </t>
  </si>
  <si>
    <t>3 Enero</t>
  </si>
  <si>
    <t>5 NOVIEMBRE</t>
  </si>
  <si>
    <t>11 NOVIEMBRE</t>
  </si>
  <si>
    <t xml:space="preserve">13 NOVIEMBRE </t>
  </si>
  <si>
    <t>20 OCTUBRE</t>
  </si>
  <si>
    <t xml:space="preserve">18 NOVIEMBRE </t>
  </si>
  <si>
    <t>Debe $300</t>
  </si>
  <si>
    <t>24 ENERO</t>
  </si>
  <si>
    <t>24 FEBRERO</t>
  </si>
  <si>
    <t>30 DICIEMBRE</t>
  </si>
  <si>
    <t>Debe $500</t>
  </si>
  <si>
    <t>16 ENERO</t>
  </si>
  <si>
    <t>NINGUNA</t>
  </si>
  <si>
    <t>20 ENERO</t>
  </si>
  <si>
    <t>20 FEBRERO</t>
  </si>
  <si>
    <t>23 ENERO</t>
  </si>
  <si>
    <t>23 FEBRERO</t>
  </si>
  <si>
    <t>SEMESTRE</t>
  </si>
  <si>
    <t>23 JULIO</t>
  </si>
  <si>
    <t>INACTIVOS</t>
  </si>
  <si>
    <t>HECTOR NIETO</t>
  </si>
  <si>
    <t>SEMANAL</t>
  </si>
  <si>
    <t>02 FEBRERO</t>
  </si>
  <si>
    <t>$500</t>
  </si>
  <si>
    <t xml:space="preserve">VERO JUÁREZ </t>
  </si>
  <si>
    <t>21 ENERO</t>
  </si>
  <si>
    <t>15 ENERO</t>
  </si>
  <si>
    <t>11 ENERO</t>
  </si>
  <si>
    <t>14 ENERO</t>
  </si>
  <si>
    <t>Debe membresía</t>
  </si>
  <si>
    <t>MARÍA  NAVARRO LARA</t>
  </si>
  <si>
    <t>30 ENERO</t>
  </si>
  <si>
    <t>LUNES 01	MARTES 02	MIÉRCOLES. 03</t>
  </si>
  <si>
    <t>JUEVES. 01</t>
  </si>
  <si>
    <t>VIERNES.02</t>
  </si>
  <si>
    <t>SABADO. 03</t>
  </si>
  <si>
    <t>LUNES 05</t>
  </si>
  <si>
    <t>MARTES 06</t>
  </si>
  <si>
    <t>MIÉRCOLES. 07</t>
  </si>
  <si>
    <t>JUEVES. 08</t>
  </si>
  <si>
    <t>VIERNES.  09</t>
  </si>
  <si>
    <t>SABADO. 10</t>
  </si>
  <si>
    <t>MARÍA NAVARRO LARA</t>
  </si>
  <si>
    <t>LUNES 12</t>
  </si>
  <si>
    <t>MARTES 13</t>
  </si>
  <si>
    <t>MIÉRCOLES. 14</t>
  </si>
  <si>
    <t>JUEVES. 15</t>
  </si>
  <si>
    <t>VIERNES.  16</t>
  </si>
  <si>
    <t>SABADO. 17</t>
  </si>
  <si>
    <t>CLASES no PAGADAS</t>
  </si>
  <si>
    <t>LUNES 19</t>
  </si>
  <si>
    <t>MARTES 20</t>
  </si>
  <si>
    <t>MIÉRCOLES 21</t>
  </si>
  <si>
    <t>JUEVES. 22</t>
  </si>
  <si>
    <t>VIERNES. 23</t>
  </si>
  <si>
    <t>SABADO 24</t>
  </si>
  <si>
    <t>LUNES 26</t>
  </si>
  <si>
    <t>MARTES 27</t>
  </si>
  <si>
    <t>MIÉRCOLES 28</t>
  </si>
  <si>
    <t>JUEVES 29</t>
  </si>
  <si>
    <t>VIERNES 30</t>
  </si>
  <si>
    <t>SÁBADO 31</t>
  </si>
  <si>
    <t>DÍA DE PAGO</t>
  </si>
  <si>
    <t>FEBRERO</t>
  </si>
  <si>
    <t>19 JULIO</t>
  </si>
  <si>
    <t>24 MARZO</t>
  </si>
  <si>
    <t>22 FEBRERO</t>
  </si>
  <si>
    <t>20 MARZO</t>
  </si>
  <si>
    <t>PENDIENTE</t>
  </si>
  <si>
    <t>23 MARZO</t>
  </si>
  <si>
    <t>17 FEBRERO</t>
  </si>
  <si>
    <t>17 MARZO</t>
  </si>
  <si>
    <t>REBECA MELÉNDEZ</t>
  </si>
  <si>
    <t>04 FEBRERO</t>
  </si>
  <si>
    <t>04 MARZO</t>
  </si>
  <si>
    <t>GUADALUPE</t>
  </si>
  <si>
    <t>PAREJAS</t>
  </si>
  <si>
    <t>LAURA</t>
  </si>
  <si>
    <t>09 FEBRERO</t>
  </si>
  <si>
    <t>09 ABRIL</t>
  </si>
  <si>
    <t>06 FEBREERO</t>
  </si>
  <si>
    <t>06 ABRIL</t>
  </si>
  <si>
    <t>INBODY</t>
  </si>
  <si>
    <t>RODRIGO ALEJO PÉREZ</t>
  </si>
  <si>
    <t>18 FEBRERO</t>
  </si>
  <si>
    <t>POWERLIFTING</t>
  </si>
  <si>
    <t>18 ABRIL</t>
  </si>
  <si>
    <t>SAUL  JUAREZ</t>
  </si>
  <si>
    <t>ESTUDIANTE VIP</t>
  </si>
  <si>
    <t>09 MARZO</t>
  </si>
  <si>
    <t>MARTÍN JUÁREZ</t>
  </si>
  <si>
    <t>10 FEBRERO</t>
  </si>
  <si>
    <t>CLAUDIA NAVARRETE</t>
  </si>
  <si>
    <t>11 FEBRERO</t>
  </si>
  <si>
    <t xml:space="preserve">18 FEBRERO </t>
  </si>
  <si>
    <t>MIGUEL MEJÍA ROJO</t>
  </si>
  <si>
    <t>14 FEBRERO</t>
  </si>
  <si>
    <t>14 ABRIL</t>
  </si>
  <si>
    <t>ANTONIO DE OLMOS</t>
  </si>
  <si>
    <t>16 FEBRERO</t>
  </si>
  <si>
    <t>16 MARZO</t>
  </si>
  <si>
    <t>CRISTINA CRUZ HERNÁNDEZ</t>
  </si>
  <si>
    <t>ALL CLUB</t>
  </si>
  <si>
    <t>DEREK ROJAS ROSAS</t>
  </si>
  <si>
    <t>23 ABRIL</t>
  </si>
  <si>
    <t>LUIS ROJAS RANGEL</t>
  </si>
  <si>
    <t xml:space="preserve">POR CLASE </t>
  </si>
  <si>
    <t>GONZALO CUÉLLAR</t>
  </si>
  <si>
    <t>NÚMERO</t>
  </si>
  <si>
    <t>#Membresia</t>
  </si>
  <si>
    <t>APROVECHAMIENTO x clase</t>
  </si>
  <si>
    <t>APROVECHAMIENTO en %</t>
  </si>
  <si>
    <t>00</t>
  </si>
  <si>
    <t>01</t>
  </si>
  <si>
    <t>03</t>
  </si>
  <si>
    <t>04</t>
  </si>
  <si>
    <t>06</t>
  </si>
  <si>
    <t>07</t>
  </si>
  <si>
    <t>08</t>
  </si>
  <si>
    <t>09</t>
  </si>
  <si>
    <t>NORMA EDIT</t>
  </si>
  <si>
    <t>10</t>
  </si>
  <si>
    <t>11</t>
  </si>
  <si>
    <t>12</t>
  </si>
  <si>
    <t>13</t>
  </si>
  <si>
    <t>SAÚL JUÁREZ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</si>
  <si>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</si>
  <si>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</si>
  <si>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</si>
  <si>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</si>
  <si>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</si>
  <si>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</si>
  <si>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</si>
  <si>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</si>
  <si>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</si>
  <si>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</si>
  <si>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</si>
  <si>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</si>
  <si>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</si>
  <si>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</si>
  <si>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</si>
  <si>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</si>
  <si>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</si>
  <si>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</si>
  <si>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</si>
  <si>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</si>
  <si>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</si>
  <si>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</si>
  <si>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</si>
  <si>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</si>
  <si>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</si>
  <si>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</si>
  <si>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TOLEDO</t>
  </si>
  <si>
    <t>LUNES 02</t>
  </si>
  <si>
    <t>MARTES 03</t>
  </si>
  <si>
    <t>MIÉRCOLES 04</t>
  </si>
  <si>
    <t>JUEVES. 05</t>
  </si>
  <si>
    <t>VIERNES.06</t>
  </si>
  <si>
    <t>SABADO. 07</t>
  </si>
  <si>
    <t>CLASES no  PAGADAS</t>
  </si>
  <si>
    <t>LUNES 09</t>
  </si>
  <si>
    <t>MARTES 10</t>
  </si>
  <si>
    <t>MIÉRCOLES. 11</t>
  </si>
  <si>
    <t>JUEVES. 12</t>
  </si>
  <si>
    <t>VIERNES.  13</t>
  </si>
  <si>
    <t>SABADO. 14</t>
  </si>
  <si>
    <t>LUNES 16</t>
  </si>
  <si>
    <t>MARTES 17</t>
  </si>
  <si>
    <t>MIÉRCOLES. 18</t>
  </si>
  <si>
    <t>JUEVES. 19</t>
  </si>
  <si>
    <t>VIERNES.  20</t>
  </si>
  <si>
    <t>SABADO. 21</t>
  </si>
  <si>
    <t>NO PAGADA</t>
  </si>
  <si>
    <t>LUNES 23</t>
  </si>
  <si>
    <t>MARTES 24</t>
  </si>
  <si>
    <t>MIÉRCOLES 25</t>
  </si>
  <si>
    <t>JUEVES. 26</t>
  </si>
  <si>
    <t>VIERNES. 27</t>
  </si>
  <si>
    <t>SABADO 28</t>
  </si>
  <si>
    <t>MARZO</t>
  </si>
  <si>
    <t>CALISTHENICS</t>
  </si>
  <si>
    <t>ILIMITADAS</t>
  </si>
  <si>
    <t>FELISA HERRADA MARTÍNEZ</t>
  </si>
  <si>
    <t>03 MARZO</t>
  </si>
  <si>
    <t>03 ABRIL</t>
  </si>
  <si>
    <t xml:space="preserve">XIMENA AÑORVE FLORES </t>
  </si>
  <si>
    <t>02 MARZO</t>
  </si>
  <si>
    <t>02 ABRIL</t>
  </si>
  <si>
    <t>LUIS ERNESTO MARTÍNEZ VELAZCO</t>
  </si>
  <si>
    <t>18 MARZO</t>
  </si>
  <si>
    <t>ZEUS YAEL NEVÁREZ OLIVARES</t>
  </si>
  <si>
    <t>DIEGO MORENO HERNÁNDEZ</t>
  </si>
  <si>
    <t>CARLOS SÁNCHEZ LARA</t>
  </si>
  <si>
    <t>DANIEL VÁZQUEZ CEDILLO</t>
  </si>
  <si>
    <t>10 MARZO</t>
  </si>
  <si>
    <t>10 ABRIL</t>
  </si>
  <si>
    <t>JONATHAN PALETA TULA</t>
  </si>
  <si>
    <t>16 ABRIL</t>
  </si>
  <si>
    <t>IVÁN CAMARENA</t>
  </si>
  <si>
    <t>30 MARZO</t>
  </si>
  <si>
    <t>30 ABRIL</t>
  </si>
  <si>
    <t>MEJIA VILLALOBOS ARTURO</t>
  </si>
  <si>
    <t>31 MARZO</t>
  </si>
  <si>
    <t>01 ABRIL</t>
  </si>
  <si>
    <t>MEJÍA DÍAZ OMAR</t>
  </si>
  <si>
    <t>11 MARZO</t>
  </si>
  <si>
    <t>25 MARZO</t>
  </si>
  <si>
    <t>ANA YOGA</t>
  </si>
  <si>
    <t>CALISTENIA</t>
  </si>
  <si>
    <t>DANIEL ZÚÑIGA</t>
  </si>
  <si>
    <t>12 MARZO</t>
  </si>
  <si>
    <t>VISITA</t>
  </si>
  <si>
    <t>TADEITO</t>
  </si>
  <si>
    <t>13 MARZO</t>
  </si>
  <si>
    <t>FLOR</t>
  </si>
  <si>
    <t>USUARIO</t>
  </si>
  <si>
    <t>-</t>
  </si>
  <si>
    <t>GAL03</t>
  </si>
  <si>
    <t>GOA04</t>
  </si>
  <si>
    <t>MV06</t>
  </si>
  <si>
    <t>VL07</t>
  </si>
  <si>
    <t>MM11</t>
  </si>
  <si>
    <t>MJT12</t>
  </si>
  <si>
    <t>LJS13</t>
  </si>
  <si>
    <t>SAÚL LÓPEZ JUÁREZ</t>
  </si>
  <si>
    <t>RRL14</t>
  </si>
  <si>
    <t>LAURA RUIZ ROSA</t>
  </si>
  <si>
    <t>RCG15</t>
  </si>
  <si>
    <t>GUADALUPE ROSA CISNEROS</t>
  </si>
  <si>
    <t>GI16</t>
  </si>
  <si>
    <t>UCA17</t>
  </si>
  <si>
    <t>AF18</t>
  </si>
  <si>
    <t>MR19</t>
  </si>
  <si>
    <t>MMR20</t>
  </si>
  <si>
    <t>ODA21</t>
  </si>
  <si>
    <t>RAP22</t>
  </si>
  <si>
    <t>CHC23</t>
  </si>
  <si>
    <t>TGE24</t>
  </si>
  <si>
    <t>osgo</t>
  </si>
  <si>
    <t>RRD37</t>
  </si>
  <si>
    <t>RRL38</t>
  </si>
  <si>
    <t>40</t>
  </si>
  <si>
    <t>AFX40</t>
  </si>
  <si>
    <t>42</t>
  </si>
  <si>
    <t>HMF42</t>
  </si>
  <si>
    <t>41</t>
  </si>
  <si>
    <t>MHD41</t>
  </si>
  <si>
    <t>43</t>
  </si>
  <si>
    <t>LSC43</t>
  </si>
  <si>
    <t>44</t>
  </si>
  <si>
    <t>VCD44</t>
  </si>
  <si>
    <t>45</t>
  </si>
  <si>
    <t>PTJ45</t>
  </si>
  <si>
    <t>46</t>
  </si>
  <si>
    <t>47</t>
  </si>
  <si>
    <t>48</t>
  </si>
  <si>
    <t>49</t>
  </si>
  <si>
    <t>50</t>
  </si>
  <si>
    <t>CLASES NO  PAGADAS</t>
  </si>
  <si>
    <t>Nombres de invitados</t>
  </si>
  <si>
    <t>EMILIO MORENO HERNÁNDEZ</t>
  </si>
  <si>
    <t>ABRIL</t>
  </si>
  <si>
    <t>$</t>
  </si>
  <si>
    <t>06 MAYO</t>
  </si>
  <si>
    <t>03 MAYO</t>
  </si>
  <si>
    <t>14 MAYO</t>
  </si>
  <si>
    <t>01 MAYO</t>
  </si>
  <si>
    <t>09 MAYO</t>
  </si>
  <si>
    <t>23 MAYO</t>
  </si>
  <si>
    <t>30 MAYO</t>
  </si>
  <si>
    <t>ROCIO BRAMBILA</t>
  </si>
  <si>
    <t>02 MAYO</t>
  </si>
  <si>
    <t>WILLY SÁNCHEZ</t>
  </si>
  <si>
    <t>20 ABRIL</t>
  </si>
  <si>
    <t>OC- GYM BASIC</t>
  </si>
  <si>
    <t>20 MAYO</t>
  </si>
  <si>
    <t>JESICA ACEVEDO</t>
  </si>
  <si>
    <t>TAKAO KATAGIRI</t>
  </si>
  <si>
    <t xml:space="preserve">OLIVER OLIVARES </t>
  </si>
  <si>
    <t>YOHAN OROPEZA</t>
  </si>
  <si>
    <t>08 ABRIL</t>
  </si>
  <si>
    <t>RECOVERY LAB</t>
  </si>
  <si>
    <t>RECOVERY.   LAB</t>
  </si>
  <si>
    <t>socio</t>
  </si>
  <si>
    <t>Folio</t>
  </si>
  <si>
    <t>PAQUETE</t>
  </si>
  <si>
    <t xml:space="preserve">DÍA </t>
  </si>
  <si>
    <t>TIEMPO</t>
  </si>
  <si>
    <t>OC-CLUB</t>
  </si>
  <si>
    <t>FISIO</t>
  </si>
  <si>
    <t>TAVO</t>
  </si>
  <si>
    <t>RECOVERY POST ENTRENAMIENTO</t>
  </si>
  <si>
    <t>24 ABRIL</t>
  </si>
  <si>
    <t>50 MIN</t>
  </si>
  <si>
    <t>04 ABRIL</t>
  </si>
  <si>
    <t>10 MAYO</t>
  </si>
  <si>
    <t>18 MAYO</t>
  </si>
  <si>
    <t>16 MAYO</t>
  </si>
  <si>
    <t>51</t>
  </si>
  <si>
    <t>52</t>
  </si>
  <si>
    <t>53</t>
  </si>
  <si>
    <t>54</t>
  </si>
  <si>
    <t>OLIVER OLIVARES</t>
  </si>
  <si>
    <t>MIÉRCOLES 01</t>
  </si>
  <si>
    <t>JUEVES 02</t>
  </si>
  <si>
    <t>VIERNES 03</t>
  </si>
  <si>
    <t>SABADO 04</t>
  </si>
  <si>
    <t>LUNES 06</t>
  </si>
  <si>
    <t>MARTES 07</t>
  </si>
  <si>
    <t>MIÉRCOLES 08</t>
  </si>
  <si>
    <t>JUEVES 09</t>
  </si>
  <si>
    <t>VIERNES 10</t>
  </si>
  <si>
    <t>SABADO 11</t>
  </si>
  <si>
    <t>LUNES 13</t>
  </si>
  <si>
    <t>MARTES 14</t>
  </si>
  <si>
    <t>MIÉRCOLES 15</t>
  </si>
  <si>
    <t>JUEVES 16</t>
  </si>
  <si>
    <t>VIERNES 17</t>
  </si>
  <si>
    <t>SABADO 18</t>
  </si>
  <si>
    <t>LUNES 20</t>
  </si>
  <si>
    <t>MARTES 21</t>
  </si>
  <si>
    <t>MIÉRCOLES 22</t>
  </si>
  <si>
    <t>JUEVES. 23</t>
  </si>
  <si>
    <t>VIERNES. 24</t>
  </si>
  <si>
    <t>SABADO 25</t>
  </si>
  <si>
    <t>LUNES 27</t>
  </si>
  <si>
    <t>MARTES 28</t>
  </si>
  <si>
    <t>MIÉRCOLES 29</t>
  </si>
  <si>
    <t>JUEVES 30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</si>
</sst>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mmmm"/>
    <numFmt numFmtId="60" formatCode="[$$-409]0.00"/>
    <numFmt numFmtId="61" formatCode="_-[$$-409]* #,##0.00_-;_-[$$-409]* \(#,##0.00\)_-;_-[$$-409]* &quot;-&quot;??;_-@_-"/>
    <numFmt numFmtId="62" formatCode="[$$-409]#,##0.00"/>
    <numFmt numFmtId="63" formatCode="0.0%_);\(0.0%\)"/>
    <numFmt numFmtId="64" formatCode="0%_);\(0%\)"/>
  </numFmts>
  <fonts count="2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22"/>
      <color indexed="8"/>
      <name val="Helvetica Neue"/>
    </font>
    <font>
      <sz val="23"/>
      <color indexed="8"/>
      <name val="Helvetica Neue"/>
    </font>
    <font>
      <sz val="12"/>
      <color indexed="21"/>
      <name val="Helvetica Neue Medium"/>
    </font>
    <font>
      <sz val="12"/>
      <color indexed="8"/>
      <name val="Helvetica Neue Medium"/>
    </font>
    <font>
      <sz val="10"/>
      <color indexed="21"/>
      <name val="Helvetica Neue"/>
    </font>
    <font>
      <b val="1"/>
      <sz val="13"/>
      <color indexed="8"/>
      <name val="Helvetica Neue"/>
    </font>
    <font>
      <sz val="13"/>
      <color indexed="8"/>
      <name val="Helvetica Neue"/>
    </font>
    <font>
      <b val="1"/>
      <sz val="16"/>
      <color indexed="8"/>
      <name val="Helvetica Neue"/>
    </font>
    <font>
      <b val="1"/>
      <sz val="17"/>
      <color indexed="8"/>
      <name val="Helvetica Neue"/>
    </font>
    <font>
      <b val="1"/>
      <sz val="16"/>
      <color indexed="21"/>
      <name val="Helvetica Neue"/>
    </font>
    <font>
      <b val="1"/>
      <sz val="17"/>
      <color indexed="21"/>
      <name val="Helvetica Neue"/>
    </font>
    <font>
      <sz val="16"/>
      <color indexed="8"/>
      <name val="Helvetica Neue"/>
    </font>
    <font>
      <b val="1"/>
      <sz val="12"/>
      <color indexed="8"/>
      <name val="Helvetica Neue"/>
    </font>
    <font>
      <b val="1"/>
      <sz val="14"/>
      <color indexed="8"/>
      <name val="Helvetica Neue"/>
    </font>
    <font>
      <sz val="14"/>
      <color indexed="8"/>
      <name val="Helvetica Neue"/>
    </font>
    <font>
      <sz val="13"/>
      <color indexed="21"/>
      <name val="Helvetica Neue"/>
    </font>
    <font>
      <sz val="17"/>
      <color indexed="8"/>
      <name val="Helvetica Neue"/>
    </font>
    <font>
      <b val="1"/>
      <sz val="13"/>
      <color indexed="21"/>
      <name val="Helvetica Neue"/>
    </font>
  </fonts>
  <fills count="4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gradientFill type="linear" degree="58">
        <stop position="0">
          <color rgb="ffffab01"/>
        </stop>
        <stop position="1">
          <color rgb="ffee719e"/>
        </stop>
      </gradient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  <fill>
      <gradientFill type="linear" degree="90">
        <stop position="0">
          <color rgb="ff000000"/>
        </stop>
        <stop position="1">
          <color rgb="fff2ae3d"/>
        </stop>
      </gradient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vertical="top" wrapText="1"/>
    </xf>
    <xf numFmtId="5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60" fontId="0" borderId="4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60" fontId="0" fillId="4" borderId="4" applyNumberFormat="1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60" fontId="0" borderId="7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60" fontId="0" fillId="4" borderId="7" applyNumberFormat="1" applyFont="1" applyFill="1" applyBorder="1" applyAlignment="1" applyProtection="0">
      <alignment horizontal="center" vertical="center" wrapText="1"/>
    </xf>
    <xf numFmtId="60" fontId="0" fillId="5" borderId="7" applyNumberFormat="1" applyFont="1" applyFill="1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top" wrapText="1"/>
    </xf>
    <xf numFmtId="49" fontId="2" fillId="6" borderId="5" applyNumberFormat="1" applyFont="1" applyFill="1" applyBorder="1" applyAlignment="1" applyProtection="0">
      <alignment horizontal="center" vertical="center" wrapText="1"/>
    </xf>
    <xf numFmtId="60" fontId="0" fillId="7" borderId="7" applyNumberFormat="1" applyFont="1" applyFill="1" applyBorder="1" applyAlignment="1" applyProtection="0">
      <alignment horizontal="center" vertical="center" wrapText="1"/>
    </xf>
    <xf numFmtId="0" fontId="0" fillId="7" borderId="7" applyNumberFormat="0" applyFont="1" applyFill="1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0" fillId="8" borderId="7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fillId="6" borderId="6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horizontal="center" vertical="center" wrapText="1"/>
    </xf>
    <xf numFmtId="60" fontId="0" fillId="6" borderId="7" applyNumberFormat="1" applyFont="1" applyFill="1" applyBorder="1" applyAlignment="1" applyProtection="0">
      <alignment horizontal="center" vertical="center" wrapText="1"/>
    </xf>
    <xf numFmtId="0" fontId="0" fillId="6" borderId="7" applyNumberFormat="0" applyFont="1" applyFill="1" applyBorder="1" applyAlignment="1" applyProtection="0">
      <alignment horizontal="center" vertical="center" wrapText="1"/>
    </xf>
    <xf numFmtId="49" fontId="2" fillId="9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0" fontId="0" fillId="10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0" fontId="0" fillId="10" borderId="6" applyNumberFormat="1" applyFont="1" applyFill="1" applyBorder="1" applyAlignment="1" applyProtection="0">
      <alignment horizontal="center" vertical="center" wrapText="1"/>
    </xf>
    <xf numFmtId="0" fontId="0" fillId="10" borderId="6" applyNumberFormat="0" applyFont="1" applyFill="1" applyBorder="1" applyAlignment="1" applyProtection="0">
      <alignment horizontal="center" vertical="center" wrapText="1"/>
    </xf>
    <xf numFmtId="0" fontId="0" fillId="10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1" borderId="3" applyNumberFormat="0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2" fillId="12" borderId="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0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0" fontId="0" fillId="13" borderId="7" applyNumberFormat="0" applyFont="1" applyFill="1" applyBorder="1" applyAlignment="1" applyProtection="0">
      <alignment horizontal="center" vertical="center" wrapText="1"/>
    </xf>
    <xf numFmtId="49" fontId="2" fillId="14" borderId="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5" borderId="7" applyNumberFormat="1" applyFont="1" applyFill="1" applyBorder="1" applyAlignment="1" applyProtection="0">
      <alignment horizontal="center" vertical="center" wrapText="1"/>
    </xf>
    <xf numFmtId="0" fontId="0" fillId="7" borderId="6" applyNumberFormat="1" applyFont="1" applyFill="1" applyBorder="1" applyAlignment="1" applyProtection="0">
      <alignment horizontal="center" vertical="center" wrapText="1"/>
    </xf>
    <xf numFmtId="0" fontId="0" fillId="16" borderId="6" applyNumberFormat="1" applyFont="1" applyFill="1" applyBorder="1" applyAlignment="1" applyProtection="0">
      <alignment horizontal="center" vertical="center" wrapText="1"/>
    </xf>
    <xf numFmtId="0" fontId="0" fillId="7" borderId="7" applyNumberFormat="1" applyFont="1" applyFill="1" applyBorder="1" applyAlignment="1" applyProtection="0">
      <alignment horizontal="center" vertical="center" wrapText="1"/>
    </xf>
    <xf numFmtId="0" fontId="0" fillId="13" borderId="6" applyNumberFormat="0" applyFont="1" applyFill="1" applyBorder="1" applyAlignment="1" applyProtection="0">
      <alignment horizontal="center" vertical="center" wrapText="1"/>
    </xf>
    <xf numFmtId="0" fontId="0" fillId="17" borderId="6" applyNumberFormat="1" applyFont="1" applyFill="1" applyBorder="1" applyAlignment="1" applyProtection="0">
      <alignment horizontal="center" vertical="center" wrapText="1"/>
    </xf>
    <xf numFmtId="0" fontId="0" fillId="6" borderId="6" applyNumberFormat="1" applyFont="1" applyFill="1" applyBorder="1" applyAlignment="1" applyProtection="0">
      <alignment horizontal="center" vertical="center" wrapText="1"/>
    </xf>
    <xf numFmtId="0" fontId="0" fillId="6" borderId="7" applyNumberFormat="1" applyFont="1" applyFill="1" applyBorder="1" applyAlignment="1" applyProtection="0">
      <alignment horizontal="center" vertical="center" wrapText="1"/>
    </xf>
    <xf numFmtId="49" fontId="0" fillId="13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" fillId="7" borderId="2" applyNumberFormat="1" applyFont="1" applyFill="1" applyBorder="1" applyAlignment="1" applyProtection="0">
      <alignment horizontal="center" vertical="center" wrapText="1"/>
    </xf>
    <xf numFmtId="0" fontId="0" fillId="18" borderId="3" applyNumberFormat="0" applyFont="1" applyFill="1" applyBorder="1" applyAlignment="1" applyProtection="0">
      <alignment horizontal="center" vertical="center" wrapText="1"/>
    </xf>
    <xf numFmtId="0" fontId="0" fillId="18" borderId="4" applyNumberFormat="0" applyFont="1" applyFill="1" applyBorder="1" applyAlignment="1" applyProtection="0">
      <alignment horizontal="center" vertical="center" wrapText="1"/>
    </xf>
    <xf numFmtId="49" fontId="2" fillId="7" borderId="5" applyNumberFormat="1" applyFont="1" applyFill="1" applyBorder="1" applyAlignment="1" applyProtection="0">
      <alignment horizontal="center" vertical="center" wrapText="1"/>
    </xf>
    <xf numFmtId="0" fontId="0" fillId="18" borderId="7" applyNumberFormat="0" applyFont="1" applyFill="1" applyBorder="1" applyAlignment="1" applyProtection="0">
      <alignment horizontal="center" vertical="center" wrapText="1"/>
    </xf>
    <xf numFmtId="0" fontId="0" fillId="18" borderId="6" applyNumberFormat="0" applyFont="1" applyFill="1" applyBorder="1" applyAlignment="1" applyProtection="0">
      <alignment horizontal="center" vertical="center" wrapText="1"/>
    </xf>
    <xf numFmtId="0" fontId="0" fillId="18" borderId="7" applyNumberFormat="0" applyFont="1" applyFill="1" applyBorder="1" applyAlignment="1" applyProtection="0">
      <alignment vertical="top" wrapText="1"/>
    </xf>
    <xf numFmtId="0" fontId="0" fillId="17" borderId="7" applyNumberFormat="0" applyFont="1" applyFill="1" applyBorder="1" applyAlignment="1" applyProtection="0">
      <alignment horizontal="center" vertical="center" wrapText="1"/>
    </xf>
    <xf numFmtId="49" fontId="2" fillId="17" borderId="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7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17" borderId="7" applyNumberFormat="1" applyFont="1" applyFill="1" applyBorder="1" applyAlignment="1" applyProtection="0">
      <alignment horizontal="center" vertical="center" wrapText="1"/>
    </xf>
    <xf numFmtId="0" fontId="0" fillId="15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7" borderId="4" applyNumberFormat="0" applyFont="1" applyFill="1" applyBorder="1" applyAlignment="1" applyProtection="0">
      <alignment horizontal="center" vertical="center" wrapText="1"/>
    </xf>
    <xf numFmtId="0" fontId="0" fillId="17" borderId="7" applyNumberFormat="0" applyFont="1" applyFill="1" applyBorder="1" applyAlignment="1" applyProtection="0">
      <alignment vertical="top" wrapText="1"/>
    </xf>
    <xf numFmtId="0" fontId="0" fillId="13" borderId="7" applyNumberFormat="0" applyFont="1" applyFill="1" applyBorder="1" applyAlignment="1" applyProtection="0">
      <alignment vertical="top" wrapText="1"/>
    </xf>
    <xf numFmtId="0" fontId="0" fillId="7" borderId="6" applyNumberFormat="0" applyFont="1" applyFill="1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fillId="16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9" borderId="6" applyNumberFormat="0" applyFont="1" applyFill="1" applyBorder="1" applyAlignment="1" applyProtection="0">
      <alignment horizontal="center" vertical="center" wrapText="1"/>
    </xf>
    <xf numFmtId="0" fontId="0" fillId="19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0" borderId="2" applyNumberFormat="1" applyFont="1" applyFill="1" applyBorder="1" applyAlignment="1" applyProtection="0">
      <alignment horizontal="center" vertical="center" wrapText="1"/>
    </xf>
    <xf numFmtId="61" fontId="0" borderId="4" applyNumberFormat="1" applyFont="1" applyFill="0" applyBorder="1" applyAlignment="1" applyProtection="0">
      <alignment horizontal="center" vertical="center" wrapText="1"/>
    </xf>
    <xf numFmtId="61" fontId="0" fillId="4" borderId="4" applyNumberFormat="1" applyFont="1" applyFill="1" applyBorder="1" applyAlignment="1" applyProtection="0">
      <alignment horizontal="center" vertical="center" wrapText="1"/>
    </xf>
    <xf numFmtId="61" fontId="0" fillId="20" borderId="4" applyNumberFormat="1" applyFont="1" applyFill="1" applyBorder="1" applyAlignment="1" applyProtection="0">
      <alignment horizontal="center" vertical="center" wrapText="1"/>
    </xf>
    <xf numFmtId="61" fontId="0" borderId="7" applyNumberFormat="1" applyFont="1" applyFill="0" applyBorder="1" applyAlignment="1" applyProtection="0">
      <alignment horizontal="center" vertical="center" wrapText="1"/>
    </xf>
    <xf numFmtId="61" fontId="0" fillId="4" borderId="7" applyNumberFormat="1" applyFont="1" applyFill="1" applyBorder="1" applyAlignment="1" applyProtection="0">
      <alignment horizontal="center" vertical="center" wrapText="1"/>
    </xf>
    <xf numFmtId="61" fontId="0" fillId="5" borderId="7" applyNumberFormat="1" applyFont="1" applyFill="1" applyBorder="1" applyAlignment="1" applyProtection="0">
      <alignment horizontal="center" vertical="center" wrapText="1"/>
    </xf>
    <xf numFmtId="49" fontId="2" fillId="20" borderId="5" applyNumberFormat="1" applyFont="1" applyFill="1" applyBorder="1" applyAlignment="1" applyProtection="0">
      <alignment horizontal="center" vertical="center" wrapText="1"/>
    </xf>
    <xf numFmtId="61" fontId="0" fillId="20" borderId="7" applyNumberFormat="1" applyFont="1" applyFill="1" applyBorder="1" applyAlignment="1" applyProtection="0">
      <alignment horizontal="center" vertical="center" wrapText="1"/>
    </xf>
    <xf numFmtId="62" fontId="0" fillId="5" borderId="7" applyNumberFormat="1" applyFont="1" applyFill="1" applyBorder="1" applyAlignment="1" applyProtection="0">
      <alignment horizontal="center" vertical="center" wrapText="1"/>
    </xf>
    <xf numFmtId="61" fontId="0" fillId="7" borderId="7" applyNumberFormat="1" applyFont="1" applyFill="1" applyBorder="1" applyAlignment="1" applyProtection="0">
      <alignment horizontal="center" vertical="center" wrapText="1"/>
    </xf>
    <xf numFmtId="61" fontId="0" fillId="20" borderId="6" applyNumberFormat="1" applyFont="1" applyFill="1" applyBorder="1" applyAlignment="1" applyProtection="0">
      <alignment vertical="top" wrapText="1"/>
    </xf>
    <xf numFmtId="49" fontId="0" fillId="20" borderId="7" applyNumberFormat="1" applyFont="1" applyFill="1" applyBorder="1" applyAlignment="1" applyProtection="0">
      <alignment horizontal="center" vertical="center" wrapText="1"/>
    </xf>
    <xf numFmtId="61" fontId="0" fillId="8" borderId="7" applyNumberFormat="1" applyFont="1" applyFill="1" applyBorder="1" applyAlignment="1" applyProtection="0">
      <alignment horizontal="center" vertical="center" wrapText="1"/>
    </xf>
    <xf numFmtId="61" fontId="0" fillId="21" borderId="7" applyNumberFormat="1" applyFont="1" applyFill="1" applyBorder="1" applyAlignment="1" applyProtection="0">
      <alignment horizontal="center" vertical="center" wrapText="1"/>
    </xf>
    <xf numFmtId="61" fontId="0" fillId="7" borderId="7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horizontal="center" vertical="center" wrapText="1"/>
    </xf>
    <xf numFmtId="61" fontId="0" fillId="22" borderId="7" applyNumberFormat="1" applyFont="1" applyFill="1" applyBorder="1" applyAlignment="1" applyProtection="0">
      <alignment horizontal="center" vertical="center" wrapText="1"/>
    </xf>
    <xf numFmtId="0" fontId="0" fillId="20" borderId="6" applyNumberFormat="0" applyFont="1" applyFill="1" applyBorder="1" applyAlignment="1" applyProtection="0">
      <alignment vertical="top" wrapText="1"/>
    </xf>
    <xf numFmtId="61" fontId="0" fillId="7" borderId="7" applyNumberFormat="1" applyFont="1" applyFill="1" applyBorder="1" applyAlignment="1" applyProtection="0">
      <alignment horizontal="center" vertical="bottom" wrapText="1"/>
    </xf>
    <xf numFmtId="61" fontId="0" fillId="6" borderId="7" applyNumberFormat="1" applyFont="1" applyFill="1" applyBorder="1" applyAlignment="1" applyProtection="0">
      <alignment horizontal="center" vertical="center" wrapText="1"/>
    </xf>
    <xf numFmtId="49" fontId="0" fillId="23" borderId="7" applyNumberFormat="1" applyFont="1" applyFill="1" applyBorder="1" applyAlignment="1" applyProtection="0">
      <alignment horizontal="center" vertical="center" wrapText="1"/>
    </xf>
    <xf numFmtId="61" fontId="0" fillId="11" borderId="7" applyNumberFormat="1" applyFont="1" applyFill="1" applyBorder="1" applyAlignment="1" applyProtection="0">
      <alignment horizontal="center" vertical="center" wrapText="1"/>
    </xf>
    <xf numFmtId="60" fontId="0" fillId="11" borderId="7" applyNumberFormat="1" applyFont="1" applyFill="1" applyBorder="1" applyAlignment="1" applyProtection="0">
      <alignment horizontal="center" vertical="center" wrapText="1"/>
    </xf>
    <xf numFmtId="0" fontId="0" fillId="10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9" borderId="1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  <xf numFmtId="0" fontId="0" fillId="9" borderId="4" applyNumberFormat="0" applyFont="1" applyFill="1" applyBorder="1" applyAlignment="1" applyProtection="0">
      <alignment horizontal="center" vertical="center" wrapText="1"/>
    </xf>
    <xf numFmtId="0" fontId="0" fillId="9" borderId="7" applyNumberFormat="0" applyFont="1" applyFill="1" applyBorder="1" applyAlignment="1" applyProtection="0">
      <alignment horizontal="center" vertical="center" wrapText="1"/>
    </xf>
    <xf numFmtId="49" fontId="2" fillId="24" borderId="5" applyNumberFormat="1" applyFont="1" applyFill="1" applyBorder="1" applyAlignment="1" applyProtection="0">
      <alignment horizontal="center" vertical="center" wrapText="1"/>
    </xf>
    <xf numFmtId="49" fontId="0" fillId="9" borderId="7" applyNumberFormat="1" applyFont="1" applyFill="1" applyBorder="1" applyAlignment="1" applyProtection="0">
      <alignment horizontal="center" vertical="center" wrapText="1"/>
    </xf>
    <xf numFmtId="0" fontId="0" fillId="9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25" borderId="3" applyNumberFormat="0" applyFont="1" applyFill="1" applyBorder="1" applyAlignment="1" applyProtection="0">
      <alignment horizontal="center" vertical="center" wrapText="1"/>
    </xf>
    <xf numFmtId="0" fontId="0" fillId="13" borderId="4" applyNumberFormat="0" applyFont="1" applyFill="1" applyBorder="1" applyAlignment="1" applyProtection="0">
      <alignment horizontal="center" vertical="center" wrapText="1"/>
    </xf>
    <xf numFmtId="0" fontId="0" fillId="25" borderId="6" applyNumberFormat="0" applyFont="1" applyFill="1" applyBorder="1" applyAlignment="1" applyProtection="0">
      <alignment horizontal="center" vertical="center" wrapText="1"/>
    </xf>
    <xf numFmtId="0" fontId="0" fillId="26" borderId="6" applyNumberFormat="0" applyFont="1" applyFill="1" applyBorder="1" applyAlignment="1" applyProtection="0">
      <alignment horizontal="center" vertical="center" wrapText="1"/>
    </xf>
    <xf numFmtId="0" fontId="0" fillId="25" borderId="7" applyNumberFormat="0" applyFont="1" applyFill="1" applyBorder="1" applyAlignment="1" applyProtection="0">
      <alignment horizontal="center" vertical="center" wrapText="1"/>
    </xf>
    <xf numFmtId="0" fontId="0" fillId="18" borderId="7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fillId="25" borderId="3" applyNumberFormat="1" applyFont="1" applyFill="1" applyBorder="1" applyAlignment="1" applyProtection="0">
      <alignment horizontal="center" vertical="center" wrapText="1"/>
    </xf>
    <xf numFmtId="0" fontId="0" fillId="25" borderId="6" applyNumberFormat="1" applyFont="1" applyFill="1" applyBorder="1" applyAlignment="1" applyProtection="0">
      <alignment horizontal="center" vertical="center" wrapText="1"/>
    </xf>
    <xf numFmtId="0" fontId="0" fillId="25" borderId="7" applyNumberFormat="1" applyFont="1" applyFill="1" applyBorder="1" applyAlignment="1" applyProtection="0">
      <alignment horizontal="center" vertical="center" wrapText="1"/>
    </xf>
    <xf numFmtId="0" fontId="0" fillId="20" borderId="7" applyNumberFormat="1" applyFont="1" applyFill="1" applyBorder="1" applyAlignment="1" applyProtection="0">
      <alignment horizontal="center" vertical="center" wrapText="1"/>
    </xf>
    <xf numFmtId="0" fontId="0" fillId="20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3" borderId="3" applyNumberFormat="0" applyFont="1" applyFill="1" applyBorder="1" applyAlignment="1" applyProtection="0">
      <alignment horizontal="center" vertical="center" wrapText="1"/>
    </xf>
    <xf numFmtId="0" fontId="0" fillId="25" borderId="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25" borderId="4" applyNumberFormat="1" applyFont="1" applyFill="1" applyBorder="1" applyAlignment="1" applyProtection="0">
      <alignment horizontal="center" vertical="center" wrapText="1"/>
    </xf>
    <xf numFmtId="0" fontId="0" fillId="26" borderId="4" applyNumberFormat="1" applyFont="1" applyFill="1" applyBorder="1" applyAlignment="1" applyProtection="0">
      <alignment horizontal="center" vertical="center" wrapText="1"/>
    </xf>
    <xf numFmtId="0" fontId="0" fillId="26" borderId="7" applyNumberFormat="1" applyFont="1" applyFill="1" applyBorder="1" applyAlignment="1" applyProtection="0">
      <alignment horizontal="center" vertical="center" wrapText="1"/>
    </xf>
    <xf numFmtId="0" fontId="0" fillId="20" borderId="7" applyNumberFormat="0" applyFont="1" applyFill="1" applyBorder="1" applyAlignment="1" applyProtection="0">
      <alignment horizontal="center" vertical="center" wrapText="1"/>
    </xf>
    <xf numFmtId="0" fontId="0" fillId="13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3" borderId="7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fillId="27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1" borderId="4" applyNumberFormat="0" applyFont="1" applyFill="1" applyBorder="1" applyAlignment="1" applyProtection="0">
      <alignment horizontal="center" vertical="center" wrapText="1"/>
    </xf>
    <xf numFmtId="0" fontId="0" fillId="20" borderId="6" applyNumberFormat="0" applyFont="1" applyFill="1" applyBorder="1" applyAlignment="1" applyProtection="0">
      <alignment horizontal="center" vertical="center" wrapText="1"/>
    </xf>
    <xf numFmtId="0" fontId="0" fillId="28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28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28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10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61" fontId="0" fillId="23" borderId="7" applyNumberFormat="1" applyFont="1" applyFill="1" applyBorder="1" applyAlignment="1" applyProtection="0">
      <alignment horizontal="center" vertical="center" wrapText="1"/>
    </xf>
    <xf numFmtId="49" fontId="0" fillId="29" borderId="7" applyNumberFormat="1" applyFont="1" applyFill="1" applyBorder="1" applyAlignment="1" applyProtection="0">
      <alignment horizontal="center" vertical="center" wrapText="1"/>
    </xf>
    <xf numFmtId="61" fontId="0" fillId="30" borderId="7" applyNumberFormat="1" applyFont="1" applyFill="1" applyBorder="1" applyAlignment="1" applyProtection="0">
      <alignment horizontal="center" vertical="center" wrapText="1"/>
    </xf>
    <xf numFmtId="49" fontId="0" fillId="4" borderId="7" applyNumberFormat="1" applyFont="1" applyFill="1" applyBorder="1" applyAlignment="1" applyProtection="0">
      <alignment horizontal="center" vertical="center" wrapText="1"/>
    </xf>
    <xf numFmtId="0" fontId="0" fillId="23" borderId="7" applyNumberFormat="0" applyFont="1" applyFill="1" applyBorder="1" applyAlignment="1" applyProtection="0">
      <alignment horizontal="center" vertical="center" wrapText="1"/>
    </xf>
    <xf numFmtId="61" fontId="0" fillId="13" borderId="7" applyNumberFormat="1" applyFont="1" applyFill="1" applyBorder="1" applyAlignment="1" applyProtection="0">
      <alignment horizontal="center" vertical="center" wrapText="1"/>
    </xf>
    <xf numFmtId="49" fontId="2" fillId="31" borderId="5" applyNumberFormat="1" applyFont="1" applyFill="1" applyBorder="1" applyAlignment="1" applyProtection="0">
      <alignment horizontal="center" vertical="center" wrapText="1"/>
    </xf>
    <xf numFmtId="61" fontId="0" fillId="32" borderId="7" applyNumberFormat="1" applyFont="1" applyFill="1" applyBorder="1" applyAlignment="1" applyProtection="0">
      <alignment horizontal="center" vertical="center" wrapText="1"/>
    </xf>
    <xf numFmtId="60" fontId="0" fillId="13" borderId="7" applyNumberFormat="1" applyFont="1" applyFill="1" applyBorder="1" applyAlignment="1" applyProtection="0">
      <alignment horizontal="center" vertical="center" wrapText="1"/>
    </xf>
    <xf numFmtId="0" fontId="0" fillId="20" borderId="7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2" fillId="10" borderId="5" applyNumberFormat="1" applyFont="1" applyFill="1" applyBorder="1" applyAlignment="1" applyProtection="0">
      <alignment horizontal="center" vertical="center" wrapText="1"/>
    </xf>
    <xf numFmtId="0" fontId="0" fillId="13" borderId="6" applyNumberFormat="0" applyFont="1" applyFill="1" applyBorder="1" applyAlignment="1" applyProtection="0">
      <alignment vertical="top" wrapText="1"/>
    </xf>
    <xf numFmtId="49" fontId="0" fillId="13" borderId="6" applyNumberFormat="1" applyFont="1" applyFill="1" applyBorder="1" applyAlignment="1" applyProtection="0">
      <alignment vertical="top" wrapText="1"/>
    </xf>
    <xf numFmtId="61" fontId="7" fillId="8" borderId="7" applyNumberFormat="1" applyFont="1" applyFill="1" applyBorder="1" applyAlignment="1" applyProtection="0">
      <alignment horizontal="center" vertical="center" wrapText="1"/>
    </xf>
    <xf numFmtId="60" fontId="0" fillId="8" borderId="7" applyNumberFormat="1" applyFont="1" applyFill="1" applyBorder="1" applyAlignment="1" applyProtection="0">
      <alignment horizontal="center" vertical="center" wrapText="1"/>
    </xf>
    <xf numFmtId="0" fontId="0" fillId="10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11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33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34" borderId="6" applyNumberFormat="1" applyFont="1" applyFill="1" applyBorder="1" applyAlignment="1" applyProtection="0">
      <alignment horizontal="center" vertical="center" wrapText="1"/>
    </xf>
    <xf numFmtId="0" fontId="0" fillId="34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33" borderId="6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35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16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35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13" borderId="3" applyNumberFormat="1" applyFont="1" applyFill="1" applyBorder="1" applyAlignment="1" applyProtection="0">
      <alignment horizontal="center" vertical="center" wrapText="1"/>
    </xf>
    <xf numFmtId="61" fontId="0" fillId="23" borderId="4" applyNumberFormat="1" applyFont="1" applyFill="1" applyBorder="1" applyAlignment="1" applyProtection="0">
      <alignment horizontal="center" vertical="center" wrapText="1"/>
    </xf>
    <xf numFmtId="49" fontId="0" fillId="36" borderId="6" applyNumberFormat="1" applyFont="1" applyFill="1" applyBorder="1" applyAlignment="1" applyProtection="0">
      <alignment horizontal="center" vertical="center" wrapText="1"/>
    </xf>
    <xf numFmtId="49" fontId="0" fillId="36" borderId="7" applyNumberFormat="1" applyFont="1" applyFill="1" applyBorder="1" applyAlignment="1" applyProtection="0">
      <alignment horizontal="center" vertical="center" wrapText="1"/>
    </xf>
    <xf numFmtId="61" fontId="0" fillId="36" borderId="7" applyNumberFormat="1" applyFont="1" applyFill="1" applyBorder="1" applyAlignment="1" applyProtection="0">
      <alignment horizontal="center" vertical="center" wrapText="1"/>
    </xf>
    <xf numFmtId="49" fontId="0" fillId="37" borderId="6" applyNumberFormat="1" applyFont="1" applyFill="1" applyBorder="1" applyAlignment="1" applyProtection="0">
      <alignment horizontal="center" vertical="center" wrapText="1"/>
    </xf>
    <xf numFmtId="49" fontId="0" fillId="37" borderId="7" applyNumberFormat="1" applyFont="1" applyFill="1" applyBorder="1" applyAlignment="1" applyProtection="0">
      <alignment horizontal="center" vertical="center" wrapText="1"/>
    </xf>
    <xf numFmtId="61" fontId="0" fillId="37" borderId="7" applyNumberFormat="1" applyFont="1" applyFill="1" applyBorder="1" applyAlignment="1" applyProtection="0">
      <alignment horizontal="center" vertical="center" wrapText="1"/>
    </xf>
    <xf numFmtId="49" fontId="0" fillId="13" borderId="6" applyNumberFormat="1" applyFont="1" applyFill="1" applyBorder="1" applyAlignment="1" applyProtection="0">
      <alignment horizontal="center" vertical="center" wrapText="1"/>
    </xf>
    <xf numFmtId="0" fontId="2" fillId="9" borderId="5" applyNumberFormat="0" applyFont="1" applyFill="1" applyBorder="1" applyAlignment="1" applyProtection="0">
      <alignment horizontal="center" vertical="center" wrapText="1"/>
    </xf>
    <xf numFmtId="61" fontId="0" fillId="10" borderId="7" applyNumberFormat="1" applyFont="1" applyFill="1" applyBorder="1" applyAlignment="1" applyProtection="0">
      <alignment horizontal="center" vertical="center" wrapText="1"/>
    </xf>
    <xf numFmtId="61" fontId="0" fillId="38" borderId="7" applyNumberFormat="1" applyFont="1" applyFill="1" applyBorder="1" applyAlignment="1" applyProtection="0">
      <alignment horizontal="center" vertical="center" wrapText="1"/>
    </xf>
    <xf numFmtId="61" fontId="0" fillId="39" borderId="7" applyNumberFormat="1" applyFont="1" applyFill="1" applyBorder="1" applyAlignment="1" applyProtection="0">
      <alignment horizontal="center" vertical="center" wrapText="1"/>
    </xf>
    <xf numFmtId="61" fontId="0" fillId="10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4" applyNumberFormat="1" applyFont="1" applyFill="1" applyBorder="1" applyAlignment="1" applyProtection="0">
      <alignment horizontal="center" vertical="center" wrapText="1"/>
    </xf>
    <xf numFmtId="49" fontId="2" fillId="3" borderId="4" applyNumberFormat="1" applyFont="1" applyFill="1" applyBorder="1" applyAlignment="1" applyProtection="0">
      <alignment horizontal="center" vertical="center" wrapText="1"/>
    </xf>
    <xf numFmtId="49" fontId="0" fillId="10" borderId="3" applyNumberFormat="1" applyFont="1" applyFill="1" applyBorder="1" applyAlignment="1" applyProtection="0">
      <alignment horizontal="center" vertical="center" wrapText="1"/>
    </xf>
    <xf numFmtId="63" fontId="0" borderId="4" applyNumberFormat="1" applyFont="1" applyFill="0" applyBorder="1" applyAlignment="1" applyProtection="0">
      <alignment horizontal="center" vertical="center" wrapText="1"/>
    </xf>
    <xf numFmtId="0" fontId="2" fillId="20" borderId="7" applyNumberFormat="1" applyFont="1" applyFill="1" applyBorder="1" applyAlignment="1" applyProtection="0">
      <alignment horizontal="center" vertical="center" wrapText="1"/>
    </xf>
    <xf numFmtId="49" fontId="2" fillId="20" borderId="7" applyNumberFormat="1" applyFont="1" applyFill="1" applyBorder="1" applyAlignment="1" applyProtection="0">
      <alignment horizontal="center" vertical="center" wrapText="1"/>
    </xf>
    <xf numFmtId="49" fontId="0" fillId="10" borderId="6" applyNumberFormat="1" applyFont="1" applyFill="1" applyBorder="1" applyAlignment="1" applyProtection="0">
      <alignment horizontal="center" vertical="center" wrapText="1"/>
    </xf>
    <xf numFmtId="64" fontId="0" borderId="7" applyNumberFormat="1" applyFont="1" applyFill="0" applyBorder="1" applyAlignment="1" applyProtection="0">
      <alignment horizontal="center" vertical="center" wrapText="1"/>
    </xf>
    <xf numFmtId="0" fontId="2" fillId="9" borderId="7" applyNumberFormat="1" applyFont="1" applyFill="1" applyBorder="1" applyAlignment="1" applyProtection="0">
      <alignment horizontal="center" vertical="center" wrapText="1"/>
    </xf>
    <xf numFmtId="49" fontId="2" fillId="9" borderId="7" applyNumberFormat="1" applyFont="1" applyFill="1" applyBorder="1" applyAlignment="1" applyProtection="0">
      <alignment horizontal="center" vertical="center" wrapText="1"/>
    </xf>
    <xf numFmtId="0" fontId="2" fillId="3" borderId="7" applyNumberFormat="1" applyFont="1" applyFill="1" applyBorder="1" applyAlignment="1" applyProtection="0">
      <alignment horizontal="center" vertical="center" wrapText="1"/>
    </xf>
    <xf numFmtId="49" fontId="2" fillId="3" borderId="7" applyNumberFormat="1" applyFont="1" applyFill="1" applyBorder="1" applyAlignment="1" applyProtection="0">
      <alignment horizontal="center" vertical="center" wrapText="1"/>
    </xf>
    <xf numFmtId="0" fontId="2" fillId="10" borderId="7" applyNumberFormat="1" applyFont="1" applyFill="1" applyBorder="1" applyAlignment="1" applyProtection="0">
      <alignment horizontal="center" vertical="center" wrapText="1"/>
    </xf>
    <xf numFmtId="49" fontId="2" fillId="10" borderId="7" applyNumberFormat="1" applyFont="1" applyFill="1" applyBorder="1" applyAlignment="1" applyProtection="0">
      <alignment horizontal="center" vertical="center" wrapText="1"/>
    </xf>
    <xf numFmtId="63" fontId="0" fillId="10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" fillId="14" borderId="1" applyNumberFormat="1" applyFont="1" applyFill="1" applyBorder="1" applyAlignment="1" applyProtection="0">
      <alignment horizontal="center" vertical="center" wrapText="1"/>
    </xf>
    <xf numFmtId="0" fontId="0" fillId="13" borderId="4" applyNumberFormat="0" applyFont="1" applyFill="1" applyBorder="1" applyAlignment="1" applyProtection="0">
      <alignment vertical="top" wrapText="1"/>
    </xf>
    <xf numFmtId="0" fontId="0" fillId="13" borderId="7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fillId="40" borderId="4" applyNumberFormat="1" applyFont="1" applyFill="1" applyBorder="1" applyAlignment="1" applyProtection="0">
      <alignment horizontal="center" vertical="center" wrapText="1"/>
    </xf>
    <xf numFmtId="0" fontId="0" fillId="40" borderId="6" applyNumberFormat="1" applyFont="1" applyFill="1" applyBorder="1" applyAlignment="1" applyProtection="0">
      <alignment horizontal="center" vertical="center" wrapText="1"/>
    </xf>
    <xf numFmtId="0" fontId="0" fillId="40" borderId="7" applyNumberFormat="1" applyFont="1" applyFill="1" applyBorder="1" applyAlignment="1" applyProtection="0">
      <alignment horizontal="center" vertical="center" wrapText="1"/>
    </xf>
    <xf numFmtId="0" fontId="0" fillId="39" borderId="7" applyNumberFormat="1" applyFont="1" applyFill="1" applyBorder="1" applyAlignment="1" applyProtection="0">
      <alignment horizontal="center" vertical="center" wrapText="1"/>
    </xf>
    <xf numFmtId="0" fontId="0" fillId="39" borderId="6" applyNumberFormat="1" applyFont="1" applyFill="1" applyBorder="1" applyAlignment="1" applyProtection="0">
      <alignment horizontal="center" vertical="center" wrapText="1"/>
    </xf>
    <xf numFmtId="0" fontId="0" fillId="41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1" borderId="6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0" borderId="3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49" fontId="8" fillId="3" borderId="2" applyNumberFormat="1" applyFont="1" applyFill="1" applyBorder="1" applyAlignment="1" applyProtection="0">
      <alignment horizontal="center" vertical="center" wrapText="1"/>
    </xf>
    <xf numFmtId="49" fontId="9" fillId="13" borderId="3" applyNumberFormat="1" applyFont="1" applyFill="1" applyBorder="1" applyAlignment="1" applyProtection="0">
      <alignment horizontal="center" vertical="center" wrapText="1"/>
    </xf>
    <xf numFmtId="49" fontId="9" borderId="4" applyNumberFormat="1" applyFont="1" applyFill="0" applyBorder="1" applyAlignment="1" applyProtection="0">
      <alignment horizontal="center" vertical="center" wrapText="1"/>
    </xf>
    <xf numFmtId="61" fontId="9" fillId="30" borderId="4" applyNumberFormat="1" applyFont="1" applyFill="1" applyBorder="1" applyAlignment="1" applyProtection="0">
      <alignment horizontal="center" vertical="center" wrapText="1"/>
    </xf>
    <xf numFmtId="61" fontId="9" fillId="23" borderId="4" applyNumberFormat="1" applyFont="1" applyFill="1" applyBorder="1" applyAlignment="1" applyProtection="0">
      <alignment horizontal="center" vertical="center" wrapText="1"/>
    </xf>
    <xf numFmtId="49" fontId="8" fillId="3" borderId="5" applyNumberFormat="1" applyFont="1" applyFill="1" applyBorder="1" applyAlignment="1" applyProtection="0">
      <alignment horizontal="center" vertical="center" wrapText="1"/>
    </xf>
    <xf numFmtId="49" fontId="9" borderId="6" applyNumberFormat="1" applyFont="1" applyFill="0" applyBorder="1" applyAlignment="1" applyProtection="0">
      <alignment horizontal="center" vertical="center" wrapText="1"/>
    </xf>
    <xf numFmtId="49" fontId="9" borderId="7" applyNumberFormat="1" applyFont="1" applyFill="0" applyBorder="1" applyAlignment="1" applyProtection="0">
      <alignment horizontal="center" vertical="center" wrapText="1"/>
    </xf>
    <xf numFmtId="61" fontId="9" borderId="7" applyNumberFormat="1" applyFont="1" applyFill="0" applyBorder="1" applyAlignment="1" applyProtection="0">
      <alignment horizontal="center" vertical="center" wrapText="1"/>
    </xf>
    <xf numFmtId="0" fontId="9" borderId="7" applyNumberFormat="0" applyFont="1" applyFill="0" applyBorder="1" applyAlignment="1" applyProtection="0">
      <alignment horizontal="center" vertical="center" wrapText="1"/>
    </xf>
    <xf numFmtId="61" fontId="9" fillId="30" borderId="7" applyNumberFormat="1" applyFont="1" applyFill="1" applyBorder="1" applyAlignment="1" applyProtection="0">
      <alignment horizontal="center" vertical="center" wrapText="1"/>
    </xf>
    <xf numFmtId="61" fontId="9" fillId="23" borderId="7" applyNumberFormat="1" applyFont="1" applyFill="1" applyBorder="1" applyAlignment="1" applyProtection="0">
      <alignment horizontal="center" vertical="center" wrapText="1"/>
    </xf>
    <xf numFmtId="61" fontId="9" fillId="42" borderId="7" applyNumberFormat="1" applyFont="1" applyFill="1" applyBorder="1" applyAlignment="1" applyProtection="0">
      <alignment horizontal="center" vertical="center" wrapText="1"/>
    </xf>
    <xf numFmtId="49" fontId="9" fillId="29" borderId="7" applyNumberFormat="1" applyFont="1" applyFill="1" applyBorder="1" applyAlignment="1" applyProtection="0">
      <alignment horizontal="center" vertical="center" wrapText="1"/>
    </xf>
    <xf numFmtId="49" fontId="8" fillId="9" borderId="5" applyNumberFormat="1" applyFont="1" applyFill="1" applyBorder="1" applyAlignment="1" applyProtection="0">
      <alignment horizontal="center" vertical="center" wrapText="1"/>
    </xf>
    <xf numFmtId="49" fontId="9" fillId="13" borderId="6" applyNumberFormat="1" applyFont="1" applyFill="1" applyBorder="1" applyAlignment="1" applyProtection="0">
      <alignment horizontal="center" vertical="center" wrapText="1"/>
    </xf>
    <xf numFmtId="49" fontId="9" fillId="13" borderId="7" applyNumberFormat="1" applyFont="1" applyFill="1" applyBorder="1" applyAlignment="1" applyProtection="0">
      <alignment horizontal="center" vertical="center" wrapText="1"/>
    </xf>
    <xf numFmtId="61" fontId="9" fillId="13" borderId="7" applyNumberFormat="1" applyFont="1" applyFill="1" applyBorder="1" applyAlignment="1" applyProtection="0">
      <alignment horizontal="center" vertical="center" wrapText="1"/>
    </xf>
    <xf numFmtId="0" fontId="9" borderId="6" applyNumberFormat="0" applyFont="1" applyFill="0" applyBorder="1" applyAlignment="1" applyProtection="0">
      <alignment horizontal="center" vertical="center" wrapText="1"/>
    </xf>
    <xf numFmtId="60" fontId="9" borderId="7" applyNumberFormat="1" applyFont="1" applyFill="0" applyBorder="1" applyAlignment="1" applyProtection="0">
      <alignment horizontal="center" vertical="center" wrapText="1"/>
    </xf>
    <xf numFmtId="60" fontId="9" fillId="13" borderId="7" applyNumberFormat="1" applyFont="1" applyFill="1" applyBorder="1" applyAlignment="1" applyProtection="0">
      <alignment horizontal="center" vertical="center" wrapText="1"/>
    </xf>
    <xf numFmtId="49" fontId="8" fillId="43" borderId="5" applyNumberFormat="1" applyFont="1" applyFill="1" applyBorder="1" applyAlignment="1" applyProtection="0">
      <alignment horizontal="center" vertical="center" wrapText="1"/>
    </xf>
    <xf numFmtId="49" fontId="9" fillId="43" borderId="6" applyNumberFormat="1" applyFont="1" applyFill="1" applyBorder="1" applyAlignment="1" applyProtection="0">
      <alignment horizontal="center" vertical="center" wrapText="1"/>
    </xf>
    <xf numFmtId="0" fontId="9" fillId="43" borderId="7" applyNumberFormat="0" applyFont="1" applyFill="1" applyBorder="1" applyAlignment="1" applyProtection="0">
      <alignment horizontal="center" vertical="center" wrapText="1"/>
    </xf>
    <xf numFmtId="49" fontId="9" fillId="43" borderId="7" applyNumberFormat="1" applyFont="1" applyFill="1" applyBorder="1" applyAlignment="1" applyProtection="0">
      <alignment horizontal="center" vertical="center" wrapText="1"/>
    </xf>
    <xf numFmtId="49" fontId="8" fillId="20" borderId="5" applyNumberFormat="1" applyFont="1" applyFill="1" applyBorder="1" applyAlignment="1" applyProtection="0">
      <alignment horizontal="center" vertical="center" wrapText="1"/>
    </xf>
    <xf numFmtId="61" fontId="9" fillId="20" borderId="6" applyNumberFormat="1" applyFont="1" applyFill="1" applyBorder="1" applyAlignment="1" applyProtection="0">
      <alignment horizontal="center" vertical="center" wrapText="1"/>
    </xf>
    <xf numFmtId="49" fontId="9" fillId="20" borderId="7" applyNumberFormat="1" applyFont="1" applyFill="1" applyBorder="1" applyAlignment="1" applyProtection="0">
      <alignment horizontal="center" vertical="center" wrapText="1"/>
    </xf>
    <xf numFmtId="61" fontId="9" fillId="20" borderId="7" applyNumberFormat="1" applyFont="1" applyFill="1" applyBorder="1" applyAlignment="1" applyProtection="0">
      <alignment horizontal="center" vertical="center" wrapText="1"/>
    </xf>
    <xf numFmtId="61" fontId="9" fillId="39" borderId="7" applyNumberFormat="1" applyFont="1" applyFill="1" applyBorder="1" applyAlignment="1" applyProtection="0">
      <alignment horizontal="center" vertical="center" wrapText="1"/>
    </xf>
    <xf numFmtId="0" fontId="9" fillId="20" borderId="6" applyNumberFormat="0" applyFont="1" applyFill="1" applyBorder="1" applyAlignment="1" applyProtection="0">
      <alignment horizontal="center" vertical="center" wrapText="1"/>
    </xf>
    <xf numFmtId="0" fontId="9" fillId="20" borderId="7" applyNumberFormat="0" applyFont="1" applyFill="1" applyBorder="1" applyAlignment="1" applyProtection="0">
      <alignment horizontal="center" vertical="center" wrapText="1"/>
    </xf>
    <xf numFmtId="61" fontId="9" fillId="7" borderId="7" applyNumberFormat="1" applyFont="1" applyFill="1" applyBorder="1" applyAlignment="1" applyProtection="0">
      <alignment horizontal="center" vertical="center" wrapText="1"/>
    </xf>
    <xf numFmtId="61" fontId="9" fillId="32" borderId="7" applyNumberFormat="1" applyFont="1" applyFill="1" applyBorder="1" applyAlignment="1" applyProtection="0">
      <alignment horizontal="center" vertical="center" wrapText="1"/>
    </xf>
    <xf numFmtId="60" fontId="9" fillId="43" borderId="7" applyNumberFormat="1" applyFont="1" applyFill="1" applyBorder="1" applyAlignment="1" applyProtection="0">
      <alignment horizontal="center" vertical="center" wrapText="1"/>
    </xf>
    <xf numFmtId="49" fontId="8" fillId="10" borderId="5" applyNumberFormat="1" applyFont="1" applyFill="1" applyBorder="1" applyAlignment="1" applyProtection="0">
      <alignment horizontal="center" vertical="center" wrapText="1"/>
    </xf>
    <xf numFmtId="0" fontId="9" fillId="13" borderId="6" applyNumberFormat="0" applyFont="1" applyFill="1" applyBorder="1" applyAlignment="1" applyProtection="0">
      <alignment horizontal="center" vertical="center" wrapText="1"/>
    </xf>
    <xf numFmtId="0" fontId="9" fillId="13" borderId="7" applyNumberFormat="0" applyFont="1" applyFill="1" applyBorder="1" applyAlignment="1" applyProtection="0">
      <alignment horizontal="center" vertical="center" wrapText="1"/>
    </xf>
    <xf numFmtId="0" fontId="9" fillId="10" borderId="6" applyNumberFormat="0" applyFont="1" applyFill="1" applyBorder="1" applyAlignment="1" applyProtection="0">
      <alignment horizontal="center" vertical="center" wrapText="1"/>
    </xf>
    <xf numFmtId="0" fontId="9" fillId="10" borderId="7" applyNumberFormat="0" applyFont="1" applyFill="1" applyBorder="1" applyAlignment="1" applyProtection="0">
      <alignment horizontal="center" vertical="center" wrapText="1"/>
    </xf>
    <xf numFmtId="0" fontId="9" fillId="43" borderId="6" applyNumberFormat="0" applyFont="1" applyFill="1" applyBorder="1" applyAlignment="1" applyProtection="0">
      <alignment horizontal="center" vertical="center" wrapText="1"/>
    </xf>
    <xf numFmtId="61" fontId="9" fillId="43" borderId="7" applyNumberFormat="1" applyFont="1" applyFill="1" applyBorder="1" applyAlignment="1" applyProtection="0">
      <alignment horizontal="center" vertical="center" wrapText="1"/>
    </xf>
    <xf numFmtId="49" fontId="9" fillId="42" borderId="6" applyNumberFormat="1" applyFont="1" applyFill="1" applyBorder="1" applyAlignment="1" applyProtection="0">
      <alignment horizontal="center" vertical="center" wrapText="1"/>
    </xf>
    <xf numFmtId="49" fontId="9" fillId="42" borderId="7" applyNumberFormat="1" applyFont="1" applyFill="1" applyBorder="1" applyAlignment="1" applyProtection="0">
      <alignment horizontal="center" vertical="center" wrapText="1"/>
    </xf>
    <xf numFmtId="0" fontId="9" fillId="42" borderId="7" applyNumberFormat="0" applyFont="1" applyFill="1" applyBorder="1" applyAlignment="1" applyProtection="0">
      <alignment horizontal="center" vertical="center" wrapText="1"/>
    </xf>
    <xf numFmtId="0" fontId="8" fillId="3" borderId="5" applyNumberFormat="0" applyFont="1" applyFill="1" applyBorder="1" applyAlignment="1" applyProtection="0">
      <alignment horizontal="center" vertical="center" wrapText="1"/>
    </xf>
    <xf numFmtId="0" fontId="9" fillId="42" borderId="6" applyNumberFormat="0" applyFont="1" applyFill="1" applyBorder="1" applyAlignment="1" applyProtection="0">
      <alignment horizontal="center" vertical="center" wrapText="1"/>
    </xf>
    <xf numFmtId="0" fontId="8" fillId="9" borderId="5" applyNumberFormat="0" applyFont="1" applyFill="1" applyBorder="1" applyAlignment="1" applyProtection="0">
      <alignment horizontal="center" vertical="center" wrapText="1"/>
    </xf>
    <xf numFmtId="61" fontId="9" fillId="10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10" fillId="2" borderId="1" applyNumberFormat="1" applyFont="1" applyFill="1" applyBorder="1" applyAlignment="1" applyProtection="0">
      <alignment horizontal="center" vertical="center" wrapText="1"/>
    </xf>
    <xf numFmtId="49" fontId="11" fillId="2" borderId="1" applyNumberFormat="1" applyFont="1" applyFill="1" applyBorder="1" applyAlignment="1" applyProtection="0">
      <alignment horizontal="center" vertical="center" wrapText="1"/>
    </xf>
    <xf numFmtId="0" fontId="12" fillId="11" borderId="4" applyNumberFormat="1" applyFont="1" applyFill="1" applyBorder="1" applyAlignment="1" applyProtection="0">
      <alignment horizontal="center" vertical="center" wrapText="1"/>
    </xf>
    <xf numFmtId="49" fontId="12" fillId="11" borderId="4" applyNumberFormat="1" applyFont="1" applyFill="1" applyBorder="1" applyAlignment="1" applyProtection="0">
      <alignment horizontal="center" vertical="center" wrapText="1"/>
    </xf>
    <xf numFmtId="49" fontId="13" fillId="11" borderId="2" applyNumberFormat="1" applyFont="1" applyFill="1" applyBorder="1" applyAlignment="1" applyProtection="0">
      <alignment horizontal="center" vertical="center" wrapText="1"/>
    </xf>
    <xf numFmtId="49" fontId="14" fillId="11" borderId="3" applyNumberFormat="1" applyFont="1" applyFill="1" applyBorder="1" applyAlignment="1" applyProtection="0">
      <alignment horizontal="center" vertical="center" wrapText="1"/>
    </xf>
    <xf numFmtId="0" fontId="14" fillId="11" borderId="4" applyNumberFormat="1" applyFont="1" applyFill="1" applyBorder="1" applyAlignment="1" applyProtection="0">
      <alignment horizontal="center" vertical="center" wrapText="1"/>
    </xf>
    <xf numFmtId="61" fontId="14" fillId="11" borderId="4" applyNumberFormat="1" applyFont="1" applyFill="1" applyBorder="1" applyAlignment="1" applyProtection="0">
      <alignment horizontal="center" vertical="center" wrapText="1"/>
    </xf>
    <xf numFmtId="64" fontId="14" fillId="11" borderId="4" applyNumberFormat="1" applyFont="1" applyFill="1" applyBorder="1" applyAlignment="1" applyProtection="0">
      <alignment horizontal="center" vertical="center" wrapText="1"/>
    </xf>
    <xf numFmtId="0" fontId="10" fillId="44" borderId="7" applyNumberFormat="1" applyFont="1" applyFill="1" applyBorder="1" applyAlignment="1" applyProtection="0">
      <alignment horizontal="center" vertical="center" wrapText="1"/>
    </xf>
    <xf numFmtId="49" fontId="10" fillId="44" borderId="7" applyNumberFormat="1" applyFont="1" applyFill="1" applyBorder="1" applyAlignment="1" applyProtection="0">
      <alignment horizontal="center" vertical="center" wrapText="1"/>
    </xf>
    <xf numFmtId="49" fontId="11" fillId="44" borderId="5" applyNumberFormat="1" applyFont="1" applyFill="1" applyBorder="1" applyAlignment="1" applyProtection="0">
      <alignment horizontal="center" vertical="center" wrapText="1"/>
    </xf>
    <xf numFmtId="49" fontId="14" fillId="10" borderId="6" applyNumberFormat="1" applyFont="1" applyFill="1" applyBorder="1" applyAlignment="1" applyProtection="0">
      <alignment horizontal="center" vertical="center" wrapText="1"/>
    </xf>
    <xf numFmtId="0" fontId="14" fillId="10" borderId="7" applyNumberFormat="1" applyFont="1" applyFill="1" applyBorder="1" applyAlignment="1" applyProtection="0">
      <alignment horizontal="center" vertical="center" wrapText="1"/>
    </xf>
    <xf numFmtId="0" fontId="14" fillId="13" borderId="7" applyNumberFormat="1" applyFont="1" applyFill="1" applyBorder="1" applyAlignment="1" applyProtection="0">
      <alignment horizontal="center" vertical="center" wrapText="1"/>
    </xf>
    <xf numFmtId="0" fontId="14" borderId="7" applyNumberFormat="1" applyFont="1" applyFill="0" applyBorder="1" applyAlignment="1" applyProtection="0">
      <alignment horizontal="center" vertical="center" wrapText="1"/>
    </xf>
    <xf numFmtId="61" fontId="14" borderId="7" applyNumberFormat="1" applyFont="1" applyFill="0" applyBorder="1" applyAlignment="1" applyProtection="0">
      <alignment horizontal="center" vertical="center" wrapText="1"/>
    </xf>
    <xf numFmtId="64" fontId="14" borderId="7" applyNumberFormat="1" applyFont="1" applyFill="0" applyBorder="1" applyAlignment="1" applyProtection="0">
      <alignment horizontal="center" vertical="center" wrapText="1"/>
    </xf>
    <xf numFmtId="0" fontId="10" fillId="9" borderId="7" applyNumberFormat="1" applyFont="1" applyFill="1" applyBorder="1" applyAlignment="1" applyProtection="0">
      <alignment horizontal="center" vertical="center" wrapText="1"/>
    </xf>
    <xf numFmtId="49" fontId="10" fillId="9" borderId="7" applyNumberFormat="1" applyFont="1" applyFill="1" applyBorder="1" applyAlignment="1" applyProtection="0">
      <alignment horizontal="center" vertical="center" wrapText="1"/>
    </xf>
    <xf numFmtId="49" fontId="11" fillId="9" borderId="5" applyNumberFormat="1" applyFont="1" applyFill="1" applyBorder="1" applyAlignment="1" applyProtection="0">
      <alignment horizontal="center" vertical="center" wrapText="1"/>
    </xf>
    <xf numFmtId="49" fontId="14" fillId="9" borderId="6" applyNumberFormat="1" applyFont="1" applyFill="1" applyBorder="1" applyAlignment="1" applyProtection="0">
      <alignment horizontal="center" vertical="center" wrapText="1"/>
    </xf>
    <xf numFmtId="64" fontId="14" fillId="45" borderId="7" applyNumberFormat="1" applyFont="1" applyFill="1" applyBorder="1" applyAlignment="1" applyProtection="0">
      <alignment horizontal="center" vertical="center" wrapText="1"/>
    </xf>
    <xf numFmtId="61" fontId="14" fillId="45" borderId="7" applyNumberFormat="1" applyFont="1" applyFill="1" applyBorder="1" applyAlignment="1" applyProtection="0">
      <alignment horizontal="center" vertical="center" wrapText="1"/>
    </xf>
    <xf numFmtId="49" fontId="10" fillId="46" borderId="7" applyNumberFormat="1" applyFont="1" applyFill="1" applyBorder="1" applyAlignment="1" applyProtection="0">
      <alignment horizontal="center" vertical="center" wrapText="1"/>
    </xf>
    <xf numFmtId="49" fontId="14" fillId="10" borderId="7" applyNumberFormat="1" applyFont="1" applyFill="1" applyBorder="1" applyAlignment="1" applyProtection="0">
      <alignment horizontal="center" vertical="center" wrapText="1"/>
    </xf>
    <xf numFmtId="49" fontId="14" fillId="9" borderId="7" applyNumberFormat="1" applyFont="1" applyFill="1" applyBorder="1" applyAlignment="1" applyProtection="0">
      <alignment horizontal="center" vertical="center" wrapText="1"/>
    </xf>
    <xf numFmtId="0" fontId="14" fillId="10" borderId="6" applyNumberFormat="1" applyFont="1" applyFill="1" applyBorder="1" applyAlignment="1" applyProtection="0">
      <alignment horizontal="center" vertical="center" wrapText="1"/>
    </xf>
    <xf numFmtId="0" fontId="14" fillId="10" borderId="7" applyNumberFormat="0" applyFont="1" applyFill="1" applyBorder="1" applyAlignment="1" applyProtection="0">
      <alignment horizontal="center" vertical="center" wrapText="1"/>
    </xf>
    <xf numFmtId="64" fontId="14" fillId="10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8" fillId="2" borderId="1" applyNumberFormat="0" applyFont="1" applyFill="1" applyBorder="1" applyAlignment="1" applyProtection="0">
      <alignment horizontal="center" vertical="center" wrapText="1"/>
    </xf>
    <xf numFmtId="49" fontId="8" fillId="14" borderId="1" applyNumberFormat="1" applyFont="1" applyFill="1" applyBorder="1" applyAlignment="1" applyProtection="0">
      <alignment horizontal="center" vertical="center" wrapText="1"/>
    </xf>
    <xf numFmtId="49" fontId="8" fillId="44" borderId="2" applyNumberFormat="1" applyFont="1" applyFill="1" applyBorder="1" applyAlignment="1" applyProtection="0">
      <alignment horizontal="center" vertical="center" wrapText="1"/>
    </xf>
    <xf numFmtId="0" fontId="9" fillId="44" borderId="3" applyNumberFormat="1" applyFont="1" applyFill="1" applyBorder="1" applyAlignment="1" applyProtection="0">
      <alignment horizontal="center" vertical="center" wrapText="1"/>
    </xf>
    <xf numFmtId="0" fontId="9" fillId="44" borderId="4" applyNumberFormat="1" applyFont="1" applyFill="1" applyBorder="1" applyAlignment="1" applyProtection="0">
      <alignment horizontal="center" vertical="center" wrapText="1"/>
    </xf>
    <xf numFmtId="0" fontId="9" fillId="13" borderId="4" applyNumberFormat="0" applyFont="1" applyFill="1" applyBorder="1" applyAlignment="1" applyProtection="0">
      <alignment horizontal="center" vertical="center" wrapText="1"/>
    </xf>
    <xf numFmtId="0" fontId="9" borderId="4" applyNumberFormat="1" applyFont="1" applyFill="0" applyBorder="1" applyAlignment="1" applyProtection="0">
      <alignment horizontal="center" vertical="center" wrapText="1"/>
    </xf>
    <xf numFmtId="0" fontId="9" borderId="4" applyNumberFormat="0" applyFont="1" applyFill="0" applyBorder="1" applyAlignment="1" applyProtection="0">
      <alignment horizontal="center" vertical="center" wrapText="1"/>
    </xf>
    <xf numFmtId="0" fontId="9" fillId="40" borderId="7" applyNumberFormat="1" applyFont="1" applyFill="1" applyBorder="1" applyAlignment="1" applyProtection="0">
      <alignment horizontal="center" vertical="center" wrapText="1"/>
    </xf>
    <xf numFmtId="0" fontId="9" borderId="7" applyNumberFormat="1" applyFont="1" applyFill="0" applyBorder="1" applyAlignment="1" applyProtection="0">
      <alignment horizontal="center" vertical="center" wrapText="1"/>
    </xf>
    <xf numFmtId="49" fontId="8" fillId="44" borderId="5" applyNumberFormat="1" applyFont="1" applyFill="1" applyBorder="1" applyAlignment="1" applyProtection="0">
      <alignment horizontal="center" vertical="center" wrapText="1"/>
    </xf>
    <xf numFmtId="0" fontId="9" fillId="44" borderId="6" applyNumberFormat="1" applyFont="1" applyFill="1" applyBorder="1" applyAlignment="1" applyProtection="0">
      <alignment horizontal="center" vertical="center" wrapText="1"/>
    </xf>
    <xf numFmtId="0" fontId="9" fillId="44" borderId="7" applyNumberFormat="1" applyFont="1" applyFill="1" applyBorder="1" applyAlignment="1" applyProtection="0">
      <alignment horizontal="center" vertical="center" wrapText="1"/>
    </xf>
    <xf numFmtId="0" fontId="9" fillId="13" borderId="7" applyNumberFormat="0" applyFont="1" applyFill="1" applyBorder="1" applyAlignment="1" applyProtection="0">
      <alignment vertical="top" wrapText="1"/>
    </xf>
    <xf numFmtId="0" fontId="9" fillId="40" borderId="6" applyNumberFormat="1" applyFont="1" applyFill="1" applyBorder="1" applyAlignment="1" applyProtection="0">
      <alignment horizontal="center" vertical="center" wrapText="1"/>
    </xf>
    <xf numFmtId="0" fontId="9" fillId="41" borderId="6" applyNumberFormat="1" applyFont="1" applyFill="1" applyBorder="1" applyAlignment="1" applyProtection="0">
      <alignment horizontal="center" vertical="center" wrapText="1"/>
    </xf>
    <xf numFmtId="0" fontId="9" fillId="45" borderId="7" applyNumberFormat="1" applyFont="1" applyFill="1" applyBorder="1" applyAlignment="1" applyProtection="0">
      <alignment horizontal="center" vertical="center" wrapText="1"/>
    </xf>
    <xf numFmtId="0" fontId="9" fillId="14" borderId="7" applyNumberFormat="1" applyFont="1" applyFill="1" applyBorder="1" applyAlignment="1" applyProtection="0">
      <alignment horizontal="center" vertical="center" wrapText="1"/>
    </xf>
    <xf numFmtId="49" fontId="8" fillId="14" borderId="5" applyNumberFormat="1" applyFont="1" applyFill="1" applyBorder="1" applyAlignment="1" applyProtection="0">
      <alignment horizontal="center" vertical="center" wrapText="1"/>
    </xf>
    <xf numFmtId="0" fontId="9" borderId="6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15" fillId="2" borderId="1" applyNumberFormat="0" applyFont="1" applyFill="1" applyBorder="1" applyAlignment="1" applyProtection="0">
      <alignment horizontal="center" vertical="center" wrapText="1"/>
    </xf>
    <xf numFmtId="49" fontId="15" fillId="14" borderId="1" applyNumberFormat="1" applyFont="1" applyFill="1" applyBorder="1" applyAlignment="1" applyProtection="0">
      <alignment horizontal="center" vertical="center" wrapText="1"/>
    </xf>
    <xf numFmtId="49" fontId="15" fillId="2" borderId="1" applyNumberFormat="1" applyFont="1" applyFill="1" applyBorder="1" applyAlignment="1" applyProtection="0">
      <alignment horizontal="center" vertical="center" wrapText="1"/>
    </xf>
    <xf numFmtId="49" fontId="15" fillId="9" borderId="2" applyNumberFormat="1" applyFont="1" applyFill="1" applyBorder="1" applyAlignment="1" applyProtection="0">
      <alignment horizontal="center" vertical="center" wrapText="1"/>
    </xf>
    <xf numFmtId="0" fontId="1" fillId="13" borderId="3" applyNumberFormat="0" applyFont="1" applyFill="1" applyBorder="1" applyAlignment="1" applyProtection="0">
      <alignment horizontal="center" vertical="center" wrapText="1"/>
    </xf>
    <xf numFmtId="0" fontId="1" fillId="13" borderId="4" applyNumberFormat="0" applyFont="1" applyFill="1" applyBorder="1" applyAlignment="1" applyProtection="0">
      <alignment vertical="top" wrapText="1"/>
    </xf>
    <xf numFmtId="0" fontId="1" fillId="13" borderId="4" applyNumberFormat="0" applyFont="1" applyFill="1" applyBorder="1" applyAlignment="1" applyProtection="0">
      <alignment horizontal="center" vertical="center" wrapText="1"/>
    </xf>
    <xf numFmtId="49" fontId="15" fillId="9" borderId="5" applyNumberFormat="1" applyFont="1" applyFill="1" applyBorder="1" applyAlignment="1" applyProtection="0">
      <alignment horizontal="center" vertical="center" wrapText="1"/>
    </xf>
    <xf numFmtId="0" fontId="1" fillId="13" borderId="6" applyNumberFormat="0" applyFont="1" applyFill="1" applyBorder="1" applyAlignment="1" applyProtection="0">
      <alignment vertical="top" wrapText="1"/>
    </xf>
    <xf numFmtId="0" fontId="1" fillId="13" borderId="7" applyNumberFormat="0" applyFont="1" applyFill="1" applyBorder="1" applyAlignment="1" applyProtection="0">
      <alignment vertical="top" wrapText="1"/>
    </xf>
    <xf numFmtId="0" fontId="1" fillId="13" borderId="7" applyNumberFormat="0" applyFont="1" applyFill="1" applyBorder="1" applyAlignment="1" applyProtection="0">
      <alignment horizontal="center" vertical="center" wrapText="1"/>
    </xf>
    <xf numFmtId="0" fontId="1" fillId="13" borderId="6" applyNumberFormat="0" applyFont="1" applyFill="1" applyBorder="1" applyAlignment="1" applyProtection="0">
      <alignment horizontal="center" vertical="center" wrapText="1"/>
    </xf>
    <xf numFmtId="49" fontId="16" fillId="9" borderId="5" applyNumberFormat="1" applyFont="1" applyFill="1" applyBorder="1" applyAlignment="1" applyProtection="0">
      <alignment horizontal="center" vertical="center" wrapText="1"/>
    </xf>
    <xf numFmtId="0" fontId="1" fillId="13" borderId="7" applyNumberFormat="0" applyFont="1" applyFill="1" applyBorder="1" applyAlignment="1" applyProtection="0">
      <alignment horizontal="center" vertical="top" wrapText="1"/>
    </xf>
    <xf numFmtId="49" fontId="15" fillId="14" borderId="5" applyNumberFormat="1" applyFont="1" applyFill="1" applyBorder="1" applyAlignment="1" applyProtection="0">
      <alignment horizontal="center" vertical="center" wrapText="1"/>
    </xf>
    <xf numFmtId="0" fontId="1" borderId="6" applyNumberFormat="0" applyFont="1" applyFill="0" applyBorder="1" applyAlignment="1" applyProtection="0">
      <alignment horizontal="center" vertical="center" wrapText="1"/>
    </xf>
    <xf numFmtId="0" fontId="1" borderId="7" applyNumberFormat="0" applyFont="1" applyFill="0" applyBorder="1" applyAlignment="1" applyProtection="0">
      <alignment horizontal="center" vertical="center" wrapText="1"/>
    </xf>
    <xf numFmtId="0" fontId="1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16" fillId="2" borderId="1" applyNumberFormat="0" applyFont="1" applyFill="1" applyBorder="1" applyAlignment="1" applyProtection="0">
      <alignment horizontal="center" vertical="center" wrapText="1"/>
    </xf>
    <xf numFmtId="49" fontId="16" fillId="2" borderId="1" applyNumberFormat="1" applyFont="1" applyFill="1" applyBorder="1" applyAlignment="1" applyProtection="0">
      <alignment horizontal="center" vertical="center" wrapText="1"/>
    </xf>
    <xf numFmtId="49" fontId="16" fillId="9" borderId="2" applyNumberFormat="1" applyFont="1" applyFill="1" applyBorder="1" applyAlignment="1" applyProtection="0">
      <alignment horizontal="center" vertical="center" wrapText="1"/>
    </xf>
    <xf numFmtId="0" fontId="17" fillId="13" borderId="3" applyNumberFormat="0" applyFont="1" applyFill="1" applyBorder="1" applyAlignment="1" applyProtection="0">
      <alignment horizontal="center" vertical="center" wrapText="1"/>
    </xf>
    <xf numFmtId="0" fontId="17" fillId="13" borderId="4" applyNumberFormat="0" applyFont="1" applyFill="1" applyBorder="1" applyAlignment="1" applyProtection="0">
      <alignment horizontal="center" vertical="center" wrapText="1"/>
    </xf>
    <xf numFmtId="0" fontId="17" borderId="4" applyNumberFormat="1" applyFont="1" applyFill="0" applyBorder="1" applyAlignment="1" applyProtection="0">
      <alignment horizontal="center" vertical="center" wrapText="1"/>
    </xf>
    <xf numFmtId="0" fontId="17" borderId="4" applyNumberFormat="0" applyFont="1" applyFill="0" applyBorder="1" applyAlignment="1" applyProtection="0">
      <alignment horizontal="center" vertical="center" wrapText="1"/>
    </xf>
    <xf numFmtId="0" fontId="17" fillId="13" borderId="7" applyNumberFormat="0" applyFont="1" applyFill="1" applyBorder="1" applyAlignment="1" applyProtection="0">
      <alignment horizontal="center" vertical="center" wrapText="1"/>
    </xf>
    <xf numFmtId="0" fontId="17" borderId="7" applyNumberFormat="1" applyFont="1" applyFill="0" applyBorder="1" applyAlignment="1" applyProtection="0">
      <alignment horizontal="center" vertical="center" wrapText="1"/>
    </xf>
    <xf numFmtId="0" fontId="17" borderId="7" applyNumberFormat="0" applyFont="1" applyFill="0" applyBorder="1" applyAlignment="1" applyProtection="0">
      <alignment horizontal="center" vertical="center" wrapText="1"/>
    </xf>
    <xf numFmtId="0" fontId="17" fillId="13" borderId="6" applyNumberFormat="0" applyFont="1" applyFill="1" applyBorder="1" applyAlignment="1" applyProtection="0">
      <alignment horizontal="center" vertical="center" wrapText="1"/>
    </xf>
    <xf numFmtId="0" fontId="17" fillId="13" borderId="7" applyNumberFormat="0" applyFont="1" applyFill="1" applyBorder="1" applyAlignment="1" applyProtection="0">
      <alignment vertical="top" wrapText="1"/>
    </xf>
    <xf numFmtId="0" fontId="9" fillId="47" borderId="7" applyNumberFormat="1" applyFont="1" applyFill="1" applyBorder="1" applyAlignment="1" applyProtection="0">
      <alignment horizontal="center" vertical="center" wrapText="1"/>
    </xf>
    <xf numFmtId="0" fontId="17" fillId="13" borderId="7" applyNumberFormat="1" applyFont="1" applyFill="1" applyBorder="1" applyAlignment="1" applyProtection="0">
      <alignment horizontal="center" vertical="center" wrapText="1"/>
    </xf>
    <xf numFmtId="0" fontId="9" fillId="38" borderId="7" applyNumberFormat="1" applyFont="1" applyFill="1" applyBorder="1" applyAlignment="1" applyProtection="0">
      <alignment horizontal="center" vertical="center" wrapText="1"/>
    </xf>
    <xf numFmtId="49" fontId="16" fillId="14" borderId="5" applyNumberFormat="1" applyFont="1" applyFill="1" applyBorder="1" applyAlignment="1" applyProtection="0">
      <alignment horizontal="center" vertical="center" wrapText="1"/>
    </xf>
    <xf numFmtId="0" fontId="17" borderId="6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17" borderId="7" applyNumberFormat="0" applyFont="1" applyFill="0" applyBorder="1" applyAlignment="1" applyProtection="0">
      <alignment vertical="top" wrapText="1"/>
    </xf>
    <xf numFmtId="0" fontId="17" borderId="7" applyNumberFormat="0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9" fillId="41" borderId="7" applyNumberFormat="1" applyFont="1" applyFill="1" applyBorder="1" applyAlignment="1" applyProtection="0">
      <alignment horizontal="center" vertical="center" wrapText="1"/>
    </xf>
    <xf numFmtId="0" fontId="9" fillId="40" borderId="7" applyNumberFormat="0" applyFont="1" applyFill="1" applyBorder="1" applyAlignment="1" applyProtection="0">
      <alignment horizontal="center" vertical="center" wrapText="1"/>
    </xf>
    <xf numFmtId="0" fontId="18" fillId="11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9" fillId="48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16" fillId="14" borderId="2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9" fillId="45" borderId="3" applyNumberFormat="1" applyFont="1" applyFill="1" applyBorder="1" applyAlignment="1" applyProtection="0">
      <alignment horizontal="center" vertical="center" wrapText="1"/>
    </xf>
    <xf numFmtId="49" fontId="9" fillId="45" borderId="4" applyNumberFormat="1" applyFont="1" applyFill="1" applyBorder="1" applyAlignment="1" applyProtection="0">
      <alignment horizontal="center" vertical="center" wrapText="1"/>
    </xf>
    <xf numFmtId="49" fontId="9" fillId="45" borderId="6" applyNumberFormat="1" applyFont="1" applyFill="1" applyBorder="1" applyAlignment="1" applyProtection="0">
      <alignment horizontal="center" vertical="center" wrapText="1"/>
    </xf>
    <xf numFmtId="49" fontId="9" fillId="45" borderId="7" applyNumberFormat="1" applyFont="1" applyFill="1" applyBorder="1" applyAlignment="1" applyProtection="0">
      <alignment horizontal="center" vertical="center" wrapText="1"/>
    </xf>
    <xf numFmtId="0" fontId="9" fillId="45" borderId="7" applyNumberFormat="0" applyFont="1" applyFill="1" applyBorder="1" applyAlignment="1" applyProtection="0">
      <alignment horizontal="center" vertical="center" wrapText="1"/>
    </xf>
    <xf numFmtId="49" fontId="9" fillId="41" borderId="6" applyNumberFormat="1" applyFont="1" applyFill="1" applyBorder="1" applyAlignment="1" applyProtection="0">
      <alignment horizontal="center" vertical="center" wrapText="1"/>
    </xf>
    <xf numFmtId="49" fontId="9" fillId="41" borderId="7" applyNumberFormat="1" applyFont="1" applyFill="1" applyBorder="1" applyAlignment="1" applyProtection="0">
      <alignment horizontal="center" vertical="center" wrapText="1"/>
    </xf>
    <xf numFmtId="49" fontId="9" fillId="30" borderId="6" applyNumberFormat="1" applyFont="1" applyFill="1" applyBorder="1" applyAlignment="1" applyProtection="0">
      <alignment horizontal="center" vertical="center" wrapText="1"/>
    </xf>
    <xf numFmtId="49" fontId="9" fillId="30" borderId="7" applyNumberFormat="1" applyFont="1" applyFill="1" applyBorder="1" applyAlignment="1" applyProtection="0">
      <alignment horizontal="center" vertical="center" wrapText="1"/>
    </xf>
    <xf numFmtId="49" fontId="9" fillId="39" borderId="7" applyNumberFormat="1" applyFont="1" applyFill="1" applyBorder="1" applyAlignment="1" applyProtection="0">
      <alignment horizontal="center" vertical="center" wrapText="1"/>
    </xf>
    <xf numFmtId="49" fontId="11" fillId="45" borderId="5" applyNumberFormat="1" applyFont="1" applyFill="1" applyBorder="1" applyAlignment="1" applyProtection="0">
      <alignment horizontal="center" vertical="center" wrapText="1"/>
    </xf>
    <xf numFmtId="49" fontId="19" fillId="45" borderId="6" applyNumberFormat="1" applyFont="1" applyFill="1" applyBorder="1" applyAlignment="1" applyProtection="0">
      <alignment horizontal="center" vertical="center" wrapText="1"/>
    </xf>
    <xf numFmtId="59" fontId="9" fillId="13" borderId="7" applyNumberFormat="1" applyFont="1" applyFill="1" applyBorder="1" applyAlignment="1" applyProtection="0">
      <alignment horizontal="center" vertical="center" wrapText="1"/>
    </xf>
    <xf numFmtId="0" fontId="9" fillId="13" borderId="6" applyNumberFormat="1" applyFont="1" applyFill="1" applyBorder="1" applyAlignment="1" applyProtection="0">
      <alignment horizontal="center" vertical="center" wrapText="1"/>
    </xf>
    <xf numFmtId="0" fontId="8" fillId="14" borderId="5" applyNumberFormat="0" applyFont="1" applyFill="1" applyBorder="1" applyAlignment="1" applyProtection="0">
      <alignment horizontal="center" vertical="center" wrapText="1"/>
    </xf>
    <xf numFmtId="49" fontId="20" fillId="42" borderId="5" applyNumberFormat="1" applyFont="1" applyFill="1" applyBorder="1" applyAlignment="1" applyProtection="0">
      <alignment horizontal="center" vertical="center" wrapText="1"/>
    </xf>
    <xf numFmtId="49" fontId="18" fillId="42" borderId="6" applyNumberFormat="1" applyFont="1" applyFill="1" applyBorder="1" applyAlignment="1" applyProtection="0">
      <alignment horizontal="center" vertical="center" wrapText="1"/>
    </xf>
    <xf numFmtId="49" fontId="18" fillId="42" borderId="7" applyNumberFormat="1" applyFont="1" applyFill="1" applyBorder="1" applyAlignment="1" applyProtection="0">
      <alignment horizontal="center" vertical="center" wrapText="1"/>
    </xf>
    <xf numFmtId="61" fontId="18" fillId="42" borderId="7" applyNumberFormat="1" applyFont="1" applyFill="1" applyBorder="1" applyAlignment="1" applyProtection="0">
      <alignment horizontal="center" vertical="center" wrapText="1"/>
    </xf>
    <xf numFmtId="0" fontId="18" fillId="42" borderId="7" applyNumberFormat="0" applyFont="1" applyFill="1" applyBorder="1" applyAlignment="1" applyProtection="0">
      <alignment horizontal="center" vertical="center" wrapText="1"/>
    </xf>
    <xf numFmtId="0" fontId="20" fillId="42" borderId="5" applyNumberFormat="0" applyFont="1" applyFill="1" applyBorder="1" applyAlignment="1" applyProtection="0">
      <alignment horizontal="center" vertical="center" wrapText="1"/>
    </xf>
    <xf numFmtId="0" fontId="18" fillId="42" borderId="6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14" fillId="11" borderId="4" applyNumberFormat="0" applyFont="1" applyFill="1" applyBorder="1" applyAlignment="1" applyProtection="0">
      <alignment horizontal="center" vertical="center" wrapText="1"/>
    </xf>
    <xf numFmtId="0" fontId="14" borderId="7" applyNumberFormat="0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8" fillId="14" borderId="1" applyNumberFormat="0" applyFont="1" applyFill="1" applyBorder="1" applyAlignment="1" applyProtection="0">
      <alignment horizontal="center" vertical="center" wrapText="1"/>
    </xf>
    <xf numFmtId="0" fontId="9" fillId="13" borderId="3" applyNumberFormat="0" applyFont="1" applyFill="1" applyBorder="1" applyAlignment="1" applyProtection="0">
      <alignment horizontal="center" vertical="center" wrapText="1"/>
    </xf>
    <xf numFmtId="0" fontId="9" fillId="13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9" fillId="46" borderId="7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9" fillId="46" borderId="6" applyNumberFormat="1" applyFont="1" applyFill="1" applyBorder="1" applyAlignment="1" applyProtection="0">
      <alignment horizontal="center" vertical="center" wrapText="1"/>
    </xf>
    <xf numFmtId="0" fontId="18" fillId="13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96d35f"/>
      <rgbColor rgb="ffe22400"/>
      <rgbColor rgb="ffff8c82"/>
      <rgbColor rgb="ffb1dd8b"/>
      <rgbColor rgb="ff5e5e5e"/>
      <rgbColor rgb="ffd6d6d6"/>
      <rgbColor rgb="ffd5d5d5"/>
      <rgbColor rgb="ffcbf0ff"/>
      <rgbColor rgb="ffffffff"/>
      <rgbColor rgb="ffc2c2c2"/>
      <rgbColor rgb="fffeb43f"/>
      <rgbColor rgb="ffffab01"/>
      <rgbColor rgb="ffe292fe"/>
      <rgbColor rgb="ffee719e"/>
      <rgbColor rgb="ff3a87fe"/>
      <rgbColor rgb="ff999999"/>
      <rgbColor rgb="ffadadad"/>
      <rgbColor rgb="ff5c5c5c"/>
      <rgbColor rgb="ff74a7ff"/>
      <rgbColor rgb="ffbe38f3"/>
      <rgbColor rgb="ffd357fe"/>
      <rgbColor rgb="ffd3e2ff"/>
      <rgbColor rgb="ff0061fe"/>
      <rgbColor rgb="ffff4015"/>
      <rgbColor rgb="ffa3d16e"/>
      <rgbColor rgb="ffb51a00"/>
      <rgbColor rgb="ffb9db93"/>
      <rgbColor rgb="fffefb41"/>
      <rgbColor rgb="ffebebeb"/>
      <rgbColor rgb="ffde789d"/>
      <rgbColor rgb="ffcf3a1f"/>
      <rgbColor rgb="ffec6c58"/>
      <rgbColor rgb="ff88f94e"/>
      <rgbColor rgb="ff4e85f5"/>
      <rgbColor rgb="fff2b756"/>
      <rgbColor rgb="ffef9186"/>
      <rgbColor rgb="ffb41700"/>
      <rgbColor rgb="ff848484"/>
      <rgbColor rgb="ff00a1fe"/>
      <rgbColor rgb="ff72fce9"/>
      <rgbColor rgb="ffff968c"/>
      <rgbColor rgb="ffd318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41</xdr:row>
      <xdr:rowOff>205412</xdr:rowOff>
    </xdr:from>
    <xdr:to>
      <xdr:col>2</xdr:col>
      <xdr:colOff>925211</xdr:colOff>
      <xdr:row>44</xdr:row>
      <xdr:rowOff>24092</xdr:rowOff>
    </xdr:to>
    <xdr:sp>
      <xdr:nvSpPr>
        <xdr:cNvPr id="2" name="Rectángulo"/>
        <xdr:cNvSpPr/>
      </xdr:nvSpPr>
      <xdr:spPr>
        <a:xfrm>
          <a:off x="-123748" y="11554767"/>
          <a:ext cx="4455812" cy="818171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42</xdr:row>
      <xdr:rowOff>301424</xdr:rowOff>
    </xdr:from>
    <xdr:to>
      <xdr:col>2</xdr:col>
      <xdr:colOff>807770</xdr:colOff>
      <xdr:row>44</xdr:row>
      <xdr:rowOff>56843</xdr:rowOff>
    </xdr:to>
    <xdr:sp>
      <xdr:nvSpPr>
        <xdr:cNvPr id="3" name="CARLOS / DEFENSA PERSONAL"/>
        <xdr:cNvSpPr txBox="1"/>
      </xdr:nvSpPr>
      <xdr:spPr>
        <a:xfrm>
          <a:off x="-65028" y="11903509"/>
          <a:ext cx="4338372" cy="50218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CARLOS / DEFENSA PERSONAL</a:t>
          </a:r>
        </a:p>
      </xdr:txBody>
    </xdr:sp>
    <xdr:clientData/>
  </xdr:twoCellAnchor>
  <xdr:twoCellAnchor>
    <xdr:from>
      <xdr:col>2</xdr:col>
      <xdr:colOff>1066396</xdr:colOff>
      <xdr:row>42</xdr:row>
      <xdr:rowOff>1850</xdr:rowOff>
    </xdr:from>
    <xdr:to>
      <xdr:col>6</xdr:col>
      <xdr:colOff>325130</xdr:colOff>
      <xdr:row>43</xdr:row>
      <xdr:rowOff>370529</xdr:rowOff>
    </xdr:to>
    <xdr:sp>
      <xdr:nvSpPr>
        <xdr:cNvPr id="4" name="Rectángulo"/>
        <xdr:cNvSpPr/>
      </xdr:nvSpPr>
      <xdr:spPr>
        <a:xfrm>
          <a:off x="4596996" y="11603935"/>
          <a:ext cx="4237135" cy="719835"/>
        </a:xfrm>
        <a:prstGeom prst="rect">
          <a:avLst/>
        </a:prstGeom>
        <a:solidFill>
          <a:srgbClr val="00A1FF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1050013</xdr:colOff>
      <xdr:row>42</xdr:row>
      <xdr:rowOff>288154</xdr:rowOff>
    </xdr:from>
    <xdr:to>
      <xdr:col>5</xdr:col>
      <xdr:colOff>936424</xdr:colOff>
      <xdr:row>44</xdr:row>
      <xdr:rowOff>57769</xdr:rowOff>
    </xdr:to>
    <xdr:sp>
      <xdr:nvSpPr>
        <xdr:cNvPr id="5" name="MARCOS / BASQUETBOL"/>
        <xdr:cNvSpPr txBox="1"/>
      </xdr:nvSpPr>
      <xdr:spPr>
        <a:xfrm>
          <a:off x="4580613" y="11890239"/>
          <a:ext cx="3620212" cy="5163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MARCOS / BASQUETBOL</a:t>
          </a:r>
        </a:p>
      </xdr:txBody>
    </xdr:sp>
    <xdr:clientData/>
  </xdr:twoCellAnchor>
  <xdr:twoCellAnchor>
    <xdr:from>
      <xdr:col>0</xdr:col>
      <xdr:colOff>0</xdr:colOff>
      <xdr:row>44</xdr:row>
      <xdr:rowOff>207839</xdr:rowOff>
    </xdr:from>
    <xdr:to>
      <xdr:col>3</xdr:col>
      <xdr:colOff>1032487</xdr:colOff>
      <xdr:row>45</xdr:row>
      <xdr:rowOff>382927</xdr:rowOff>
    </xdr:to>
    <xdr:sp>
      <xdr:nvSpPr>
        <xdr:cNvPr id="6" name="Rectángulo"/>
        <xdr:cNvSpPr/>
      </xdr:nvSpPr>
      <xdr:spPr>
        <a:xfrm>
          <a:off x="-437469" y="12556684"/>
          <a:ext cx="5807688" cy="570694"/>
        </a:xfrm>
        <a:prstGeom prst="rect">
          <a:avLst/>
        </a:prstGeom>
        <a:solidFill>
          <a:srgbClr val="B1DD8B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688703</xdr:colOff>
      <xdr:row>44</xdr:row>
      <xdr:rowOff>55356</xdr:rowOff>
    </xdr:from>
    <xdr:to>
      <xdr:col>4</xdr:col>
      <xdr:colOff>694484</xdr:colOff>
      <xdr:row>46</xdr:row>
      <xdr:rowOff>21945</xdr:rowOff>
    </xdr:to>
    <xdr:sp>
      <xdr:nvSpPr>
        <xdr:cNvPr id="7" name="Rectángulo"/>
        <xdr:cNvSpPr/>
      </xdr:nvSpPr>
      <xdr:spPr>
        <a:xfrm>
          <a:off x="5463903" y="12404201"/>
          <a:ext cx="1250382" cy="753990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846683</xdr:colOff>
      <xdr:row>44</xdr:row>
      <xdr:rowOff>174163</xdr:rowOff>
    </xdr:from>
    <xdr:to>
      <xdr:col>4</xdr:col>
      <xdr:colOff>1139754</xdr:colOff>
      <xdr:row>45</xdr:row>
      <xdr:rowOff>294932</xdr:rowOff>
    </xdr:to>
    <xdr:sp>
      <xdr:nvSpPr>
        <xdr:cNvPr id="8" name="TAVO"/>
        <xdr:cNvSpPr txBox="1"/>
      </xdr:nvSpPr>
      <xdr:spPr>
        <a:xfrm>
          <a:off x="5621883" y="12523008"/>
          <a:ext cx="1537672" cy="5163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TAVO</a:t>
          </a:r>
        </a:p>
      </xdr:txBody>
    </xdr:sp>
    <xdr:clientData/>
  </xdr:twoCellAnchor>
  <xdr:twoCellAnchor>
    <xdr:from>
      <xdr:col>11</xdr:col>
      <xdr:colOff>942268</xdr:colOff>
      <xdr:row>42</xdr:row>
      <xdr:rowOff>37831</xdr:rowOff>
    </xdr:from>
    <xdr:to>
      <xdr:col>13</xdr:col>
      <xdr:colOff>454731</xdr:colOff>
      <xdr:row>44</xdr:row>
      <xdr:rowOff>320437</xdr:rowOff>
    </xdr:to>
    <xdr:sp>
      <xdr:nvSpPr>
        <xdr:cNvPr id="9" name="Rectángulo"/>
        <xdr:cNvSpPr/>
      </xdr:nvSpPr>
      <xdr:spPr>
        <a:xfrm>
          <a:off x="15712368" y="11639916"/>
          <a:ext cx="2052464" cy="1029367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891468</xdr:colOff>
      <xdr:row>42</xdr:row>
      <xdr:rowOff>8959</xdr:rowOff>
    </xdr:from>
    <xdr:to>
      <xdr:col>17</xdr:col>
      <xdr:colOff>543631</xdr:colOff>
      <xdr:row>44</xdr:row>
      <xdr:rowOff>349309</xdr:rowOff>
    </xdr:to>
    <xdr:sp>
      <xdr:nvSpPr>
        <xdr:cNvPr id="10" name="Rectángulo"/>
        <xdr:cNvSpPr/>
      </xdr:nvSpPr>
      <xdr:spPr>
        <a:xfrm>
          <a:off x="21757568" y="11611044"/>
          <a:ext cx="2141364" cy="1087111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11</xdr:col>
      <xdr:colOff>1248730</xdr:colOff>
      <xdr:row>42</xdr:row>
      <xdr:rowOff>294327</xdr:rowOff>
    </xdr:from>
    <xdr:to>
      <xdr:col>13</xdr:col>
      <xdr:colOff>859471</xdr:colOff>
      <xdr:row>44</xdr:row>
      <xdr:rowOff>63941</xdr:rowOff>
    </xdr:to>
    <xdr:sp>
      <xdr:nvSpPr>
        <xdr:cNvPr id="11" name="PAGADA"/>
        <xdr:cNvSpPr txBox="1"/>
      </xdr:nvSpPr>
      <xdr:spPr>
        <a:xfrm>
          <a:off x="16018829" y="11896412"/>
          <a:ext cx="2150743" cy="5163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PAGADA</a:t>
          </a:r>
        </a:p>
      </xdr:txBody>
    </xdr:sp>
    <xdr:clientData/>
  </xdr:twoCellAnchor>
  <xdr:twoCellAnchor>
    <xdr:from>
      <xdr:col>13</xdr:col>
      <xdr:colOff>650168</xdr:colOff>
      <xdr:row>42</xdr:row>
      <xdr:rowOff>247230</xdr:rowOff>
    </xdr:from>
    <xdr:to>
      <xdr:col>15</xdr:col>
      <xdr:colOff>480131</xdr:colOff>
      <xdr:row>44</xdr:row>
      <xdr:rowOff>111038</xdr:rowOff>
    </xdr:to>
    <xdr:sp>
      <xdr:nvSpPr>
        <xdr:cNvPr id="12" name="Rectángulo"/>
        <xdr:cNvSpPr/>
      </xdr:nvSpPr>
      <xdr:spPr>
        <a:xfrm>
          <a:off x="17960268" y="11849315"/>
          <a:ext cx="3385964" cy="610569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1064578</xdr:colOff>
      <xdr:row>42</xdr:row>
      <xdr:rowOff>300977</xdr:rowOff>
    </xdr:from>
    <xdr:to>
      <xdr:col>17</xdr:col>
      <xdr:colOff>726120</xdr:colOff>
      <xdr:row>44</xdr:row>
      <xdr:rowOff>70591</xdr:rowOff>
    </xdr:to>
    <xdr:sp>
      <xdr:nvSpPr>
        <xdr:cNvPr id="13" name="NO PAGADA"/>
        <xdr:cNvSpPr txBox="1"/>
      </xdr:nvSpPr>
      <xdr:spPr>
        <a:xfrm>
          <a:off x="21930678" y="11903062"/>
          <a:ext cx="2150743" cy="5163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PAGADA</a:t>
          </a:r>
        </a:p>
      </xdr:txBody>
    </xdr:sp>
    <xdr:clientData/>
  </xdr:twoCellAnchor>
  <xdr:twoCellAnchor>
    <xdr:from>
      <xdr:col>13</xdr:col>
      <xdr:colOff>846072</xdr:colOff>
      <xdr:row>42</xdr:row>
      <xdr:rowOff>294327</xdr:rowOff>
    </xdr:from>
    <xdr:to>
      <xdr:col>15</xdr:col>
      <xdr:colOff>284226</xdr:colOff>
      <xdr:row>44</xdr:row>
      <xdr:rowOff>63941</xdr:rowOff>
    </xdr:to>
    <xdr:sp>
      <xdr:nvSpPr>
        <xdr:cNvPr id="14" name="DEMO / OPEN GYM"/>
        <xdr:cNvSpPr txBox="1"/>
      </xdr:nvSpPr>
      <xdr:spPr>
        <a:xfrm>
          <a:off x="18156172" y="11896412"/>
          <a:ext cx="2994155" cy="5163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DEMO / OPEN GYM</a:t>
          </a:r>
        </a:p>
      </xdr:txBody>
    </xdr:sp>
    <xdr:clientData/>
  </xdr:twoCellAnchor>
  <xdr:twoCellAnchor>
    <xdr:from>
      <xdr:col>4</xdr:col>
      <xdr:colOff>788169</xdr:colOff>
      <xdr:row>44</xdr:row>
      <xdr:rowOff>55356</xdr:rowOff>
    </xdr:from>
    <xdr:to>
      <xdr:col>6</xdr:col>
      <xdr:colOff>300632</xdr:colOff>
      <xdr:row>46</xdr:row>
      <xdr:rowOff>81841</xdr:rowOff>
    </xdr:to>
    <xdr:sp>
      <xdr:nvSpPr>
        <xdr:cNvPr id="15" name="Rectángulo"/>
        <xdr:cNvSpPr/>
      </xdr:nvSpPr>
      <xdr:spPr>
        <a:xfrm>
          <a:off x="6807969" y="12404201"/>
          <a:ext cx="2001664" cy="813886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769119</xdr:colOff>
      <xdr:row>44</xdr:row>
      <xdr:rowOff>204110</xdr:rowOff>
    </xdr:from>
    <xdr:to>
      <xdr:col>6</xdr:col>
      <xdr:colOff>379861</xdr:colOff>
      <xdr:row>45</xdr:row>
      <xdr:rowOff>324880</xdr:rowOff>
    </xdr:to>
    <xdr:sp>
      <xdr:nvSpPr>
        <xdr:cNvPr id="16" name="OPEN GYM"/>
        <xdr:cNvSpPr txBox="1"/>
      </xdr:nvSpPr>
      <xdr:spPr>
        <a:xfrm>
          <a:off x="6788919" y="12552955"/>
          <a:ext cx="2099943" cy="5163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OPEN GYM</a:t>
          </a:r>
        </a:p>
      </xdr:txBody>
    </xdr:sp>
    <xdr:clientData/>
  </xdr:twoCellAnchor>
  <xdr:twoCellAnchor>
    <xdr:from>
      <xdr:col>0</xdr:col>
      <xdr:colOff>0</xdr:colOff>
      <xdr:row>44</xdr:row>
      <xdr:rowOff>174163</xdr:rowOff>
    </xdr:from>
    <xdr:to>
      <xdr:col>3</xdr:col>
      <xdr:colOff>1125510</xdr:colOff>
      <xdr:row>45</xdr:row>
      <xdr:rowOff>294932</xdr:rowOff>
    </xdr:to>
    <xdr:sp>
      <xdr:nvSpPr>
        <xdr:cNvPr id="17" name="BRYAN / CALISTENIA/ FUNCIONAL / GAP"/>
        <xdr:cNvSpPr txBox="1"/>
      </xdr:nvSpPr>
      <xdr:spPr>
        <a:xfrm>
          <a:off x="-317987" y="12523008"/>
          <a:ext cx="5900711" cy="5163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2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BRYAN / CALISTENIA/ FUNCIONAL / GAP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1089102</xdr:colOff>
      <xdr:row>57</xdr:row>
      <xdr:rowOff>87890</xdr:rowOff>
    </xdr:from>
    <xdr:to>
      <xdr:col>3</xdr:col>
      <xdr:colOff>807813</xdr:colOff>
      <xdr:row>59</xdr:row>
      <xdr:rowOff>245196</xdr:rowOff>
    </xdr:to>
    <xdr:sp>
      <xdr:nvSpPr>
        <xdr:cNvPr id="19" name="CARLOS/ TAEKWONDO/ KICK BOXING/ DEFENSA PERSONAL"/>
        <xdr:cNvSpPr/>
      </xdr:nvSpPr>
      <xdr:spPr>
        <a:xfrm>
          <a:off x="1089102" y="16614400"/>
          <a:ext cx="4493912" cy="940897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 CARLOS/ TAEKWONDO/ KICK BOXING/ DEFENSA PERSONAL</a:t>
          </a:r>
        </a:p>
      </xdr:txBody>
    </xdr:sp>
    <xdr:clientData/>
  </xdr:twoCellAnchor>
  <xdr:twoCellAnchor>
    <xdr:from>
      <xdr:col>3</xdr:col>
      <xdr:colOff>1065402</xdr:colOff>
      <xdr:row>57</xdr:row>
      <xdr:rowOff>48574</xdr:rowOff>
    </xdr:from>
    <xdr:to>
      <xdr:col>7</xdr:col>
      <xdr:colOff>362235</xdr:colOff>
      <xdr:row>59</xdr:row>
      <xdr:rowOff>92792</xdr:rowOff>
    </xdr:to>
    <xdr:sp>
      <xdr:nvSpPr>
        <xdr:cNvPr id="20" name="MARCOS / BASQUETBOL"/>
        <xdr:cNvSpPr/>
      </xdr:nvSpPr>
      <xdr:spPr>
        <a:xfrm>
          <a:off x="5840602" y="16575084"/>
          <a:ext cx="4275234" cy="827809"/>
        </a:xfrm>
        <a:prstGeom prst="rect">
          <a:avLst/>
        </a:prstGeom>
        <a:solidFill>
          <a:srgbClr val="70707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MARCOS / BASQUETBOL</a:t>
          </a:r>
        </a:p>
      </xdr:txBody>
    </xdr:sp>
    <xdr:clientData/>
  </xdr:twoCellAnchor>
  <xdr:twoCellAnchor>
    <xdr:from>
      <xdr:col>0</xdr:col>
      <xdr:colOff>772000</xdr:colOff>
      <xdr:row>60</xdr:row>
      <xdr:rowOff>107100</xdr:rowOff>
    </xdr:from>
    <xdr:to>
      <xdr:col>4</xdr:col>
      <xdr:colOff>597987</xdr:colOff>
      <xdr:row>61</xdr:row>
      <xdr:rowOff>371601</xdr:rowOff>
    </xdr:to>
    <xdr:sp>
      <xdr:nvSpPr>
        <xdr:cNvPr id="21" name="BRYAN / GYM"/>
        <xdr:cNvSpPr/>
      </xdr:nvSpPr>
      <xdr:spPr>
        <a:xfrm>
          <a:off x="772000" y="17808995"/>
          <a:ext cx="5845788" cy="656297"/>
        </a:xfrm>
        <a:prstGeom prst="rect">
          <a:avLst/>
        </a:prstGeom>
        <a:solidFill>
          <a:srgbClr val="B1DD8B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BRYAN / GYM</a:t>
          </a:r>
        </a:p>
      </xdr:txBody>
    </xdr:sp>
    <xdr:clientData/>
  </xdr:twoCellAnchor>
  <xdr:twoCellAnchor>
    <xdr:from>
      <xdr:col>5</xdr:col>
      <xdr:colOff>398746</xdr:colOff>
      <xdr:row>59</xdr:row>
      <xdr:rowOff>12249</xdr:rowOff>
    </xdr:from>
    <xdr:to>
      <xdr:col>6</xdr:col>
      <xdr:colOff>1203965</xdr:colOff>
      <xdr:row>62</xdr:row>
      <xdr:rowOff>13758</xdr:rowOff>
    </xdr:to>
    <xdr:sp>
      <xdr:nvSpPr>
        <xdr:cNvPr id="22" name="TAVO/GENERAL"/>
        <xdr:cNvSpPr/>
      </xdr:nvSpPr>
      <xdr:spPr>
        <a:xfrm>
          <a:off x="7663146" y="17322349"/>
          <a:ext cx="2049820" cy="1176895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TAVO/GENERAL</a:t>
          </a:r>
        </a:p>
      </xdr:txBody>
    </xdr:sp>
    <xdr:clientData/>
  </xdr:twoCellAnchor>
  <xdr:twoCellAnchor>
    <xdr:from>
      <xdr:col>12</xdr:col>
      <xdr:colOff>385697</xdr:colOff>
      <xdr:row>59</xdr:row>
      <xdr:rowOff>60441</xdr:rowOff>
    </xdr:from>
    <xdr:to>
      <xdr:col>13</xdr:col>
      <xdr:colOff>1206260</xdr:colOff>
      <xdr:row>62</xdr:row>
      <xdr:rowOff>68827</xdr:rowOff>
    </xdr:to>
    <xdr:sp>
      <xdr:nvSpPr>
        <xdr:cNvPr id="23" name="PAGADA"/>
        <xdr:cNvSpPr/>
      </xdr:nvSpPr>
      <xdr:spPr>
        <a:xfrm>
          <a:off x="16425797" y="17370541"/>
          <a:ext cx="2090564" cy="1183772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PAGADA</a:t>
          </a:r>
        </a:p>
      </xdr:txBody>
    </xdr:sp>
    <xdr:clientData/>
  </xdr:twoCellAnchor>
  <xdr:twoCellAnchor>
    <xdr:from>
      <xdr:col>16</xdr:col>
      <xdr:colOff>1107084</xdr:colOff>
      <xdr:row>57</xdr:row>
      <xdr:rowOff>17290</xdr:rowOff>
    </xdr:from>
    <xdr:to>
      <xdr:col>18</xdr:col>
      <xdr:colOff>797347</xdr:colOff>
      <xdr:row>60</xdr:row>
      <xdr:rowOff>92081</xdr:rowOff>
    </xdr:to>
    <xdr:sp>
      <xdr:nvSpPr>
        <xdr:cNvPr id="24" name="NO PAGADA"/>
        <xdr:cNvSpPr/>
      </xdr:nvSpPr>
      <xdr:spPr>
        <a:xfrm>
          <a:off x="23243184" y="16543800"/>
          <a:ext cx="2179464" cy="1250177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NO PAGADA</a:t>
          </a:r>
        </a:p>
      </xdr:txBody>
    </xdr:sp>
    <xdr:clientData/>
  </xdr:twoCellAnchor>
  <xdr:twoCellAnchor>
    <xdr:from>
      <xdr:col>14</xdr:col>
      <xdr:colOff>602685</xdr:colOff>
      <xdr:row>57</xdr:row>
      <xdr:rowOff>320174</xdr:rowOff>
    </xdr:from>
    <xdr:to>
      <xdr:col>16</xdr:col>
      <xdr:colOff>470748</xdr:colOff>
      <xdr:row>59</xdr:row>
      <xdr:rowOff>238737</xdr:rowOff>
    </xdr:to>
    <xdr:sp>
      <xdr:nvSpPr>
        <xdr:cNvPr id="25" name="OPEN GYM"/>
        <xdr:cNvSpPr/>
      </xdr:nvSpPr>
      <xdr:spPr>
        <a:xfrm>
          <a:off x="19182785" y="16846684"/>
          <a:ext cx="3424064" cy="702154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OPEN GYM</a:t>
          </a:r>
        </a:p>
      </xdr:txBody>
    </xdr:sp>
    <xdr:clientData/>
  </xdr:twoCellAnchor>
  <xdr:twoCellAnchor>
    <xdr:from>
      <xdr:col>7</xdr:col>
      <xdr:colOff>1000942</xdr:colOff>
      <xdr:row>59</xdr:row>
      <xdr:rowOff>61183</xdr:rowOff>
    </xdr:from>
    <xdr:to>
      <xdr:col>9</xdr:col>
      <xdr:colOff>564205</xdr:colOff>
      <xdr:row>62</xdr:row>
      <xdr:rowOff>10345</xdr:rowOff>
    </xdr:to>
    <xdr:sp>
      <xdr:nvSpPr>
        <xdr:cNvPr id="26" name="WELLHUB"/>
        <xdr:cNvSpPr/>
      </xdr:nvSpPr>
      <xdr:spPr>
        <a:xfrm>
          <a:off x="10754542" y="17371283"/>
          <a:ext cx="2039764" cy="1124548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WELLHUB</a:t>
          </a:r>
        </a:p>
      </xdr:txBody>
    </xdr:sp>
    <xdr:clientData/>
  </xdr:twoCellAnchor>
  <xdr:twoCellAnchor>
    <xdr:from>
      <xdr:col>7</xdr:col>
      <xdr:colOff>1000942</xdr:colOff>
      <xdr:row>56</xdr:row>
      <xdr:rowOff>102324</xdr:rowOff>
    </xdr:from>
    <xdr:to>
      <xdr:col>9</xdr:col>
      <xdr:colOff>564205</xdr:colOff>
      <xdr:row>58</xdr:row>
      <xdr:rowOff>143884</xdr:rowOff>
    </xdr:to>
    <xdr:sp>
      <xdr:nvSpPr>
        <xdr:cNvPr id="27" name="SAUNA"/>
        <xdr:cNvSpPr/>
      </xdr:nvSpPr>
      <xdr:spPr>
        <a:xfrm>
          <a:off x="10754542" y="16237039"/>
          <a:ext cx="2039764" cy="825151"/>
        </a:xfrm>
        <a:prstGeom prst="rect">
          <a:avLst/>
        </a:prstGeom>
        <a:solidFill>
          <a:srgbClr val="A7C6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SAUNA</a:t>
          </a:r>
        </a:p>
      </xdr:txBody>
    </xdr:sp>
    <xdr:clientData/>
  </xdr:twoCellAnchor>
  <xdr:twoCellAnchor>
    <xdr:from>
      <xdr:col>19</xdr:col>
      <xdr:colOff>191454</xdr:colOff>
      <xdr:row>57</xdr:row>
      <xdr:rowOff>46161</xdr:rowOff>
    </xdr:from>
    <xdr:to>
      <xdr:col>20</xdr:col>
      <xdr:colOff>478618</xdr:colOff>
      <xdr:row>60</xdr:row>
      <xdr:rowOff>120952</xdr:rowOff>
    </xdr:to>
    <xdr:sp>
      <xdr:nvSpPr>
        <xdr:cNvPr id="28" name="DEMO"/>
        <xdr:cNvSpPr/>
      </xdr:nvSpPr>
      <xdr:spPr>
        <a:xfrm>
          <a:off x="26061354" y="16572671"/>
          <a:ext cx="2179465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DEMO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1089102</xdr:colOff>
      <xdr:row>38</xdr:row>
      <xdr:rowOff>274071</xdr:rowOff>
    </xdr:from>
    <xdr:to>
      <xdr:col>0</xdr:col>
      <xdr:colOff>5583013</xdr:colOff>
      <xdr:row>41</xdr:row>
      <xdr:rowOff>219287</xdr:rowOff>
    </xdr:to>
    <xdr:sp>
      <xdr:nvSpPr>
        <xdr:cNvPr id="30" name="CARLOS/ TAEKWONDO/ KICK BOXING/ DEFENSA PERSONAL"/>
        <xdr:cNvSpPr/>
      </xdr:nvSpPr>
      <xdr:spPr>
        <a:xfrm>
          <a:off x="1089102" y="17070456"/>
          <a:ext cx="4493912" cy="940897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 CARLOS/ TAEKWONDO/ KICK BOXING/ DEFENSA PERSONAL</a:t>
          </a:r>
        </a:p>
      </xdr:txBody>
    </xdr:sp>
    <xdr:clientData/>
  </xdr:twoCellAnchor>
  <xdr:twoCellAnchor>
    <xdr:from>
      <xdr:col>0</xdr:col>
      <xdr:colOff>5840602</xdr:colOff>
      <xdr:row>38</xdr:row>
      <xdr:rowOff>234755</xdr:rowOff>
    </xdr:from>
    <xdr:to>
      <xdr:col>0</xdr:col>
      <xdr:colOff>10115835</xdr:colOff>
      <xdr:row>41</xdr:row>
      <xdr:rowOff>66883</xdr:rowOff>
    </xdr:to>
    <xdr:sp>
      <xdr:nvSpPr>
        <xdr:cNvPr id="31" name="MARCOS / BASQUETBOL"/>
        <xdr:cNvSpPr/>
      </xdr:nvSpPr>
      <xdr:spPr>
        <a:xfrm>
          <a:off x="5840602" y="17031140"/>
          <a:ext cx="4275234" cy="827809"/>
        </a:xfrm>
        <a:prstGeom prst="rect">
          <a:avLst/>
        </a:prstGeom>
        <a:solidFill>
          <a:srgbClr val="70707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MARCOS / BASQUETBOL</a:t>
          </a:r>
        </a:p>
      </xdr:txBody>
    </xdr:sp>
    <xdr:clientData/>
  </xdr:twoCellAnchor>
  <xdr:twoCellAnchor>
    <xdr:from>
      <xdr:col>0</xdr:col>
      <xdr:colOff>772000</xdr:colOff>
      <xdr:row>42</xdr:row>
      <xdr:rowOff>215811</xdr:rowOff>
    </xdr:from>
    <xdr:to>
      <xdr:col>0</xdr:col>
      <xdr:colOff>6617787</xdr:colOff>
      <xdr:row>44</xdr:row>
      <xdr:rowOff>225677</xdr:rowOff>
    </xdr:to>
    <xdr:sp>
      <xdr:nvSpPr>
        <xdr:cNvPr id="32" name="BRYAN / GYM"/>
        <xdr:cNvSpPr/>
      </xdr:nvSpPr>
      <xdr:spPr>
        <a:xfrm>
          <a:off x="772000" y="18265051"/>
          <a:ext cx="5845788" cy="656297"/>
        </a:xfrm>
        <a:prstGeom prst="rect">
          <a:avLst/>
        </a:prstGeom>
        <a:solidFill>
          <a:srgbClr val="B1DD8B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BRYAN / GYM</a:t>
          </a:r>
        </a:p>
      </xdr:txBody>
    </xdr:sp>
    <xdr:clientData/>
  </xdr:twoCellAnchor>
  <xdr:twoCellAnchor>
    <xdr:from>
      <xdr:col>0</xdr:col>
      <xdr:colOff>7663147</xdr:colOff>
      <xdr:row>40</xdr:row>
      <xdr:rowOff>337495</xdr:rowOff>
    </xdr:from>
    <xdr:to>
      <xdr:col>0</xdr:col>
      <xdr:colOff>9712966</xdr:colOff>
      <xdr:row>44</xdr:row>
      <xdr:rowOff>259629</xdr:rowOff>
    </xdr:to>
    <xdr:sp>
      <xdr:nvSpPr>
        <xdr:cNvPr id="33" name="TAVO/GENERAL"/>
        <xdr:cNvSpPr/>
      </xdr:nvSpPr>
      <xdr:spPr>
        <a:xfrm>
          <a:off x="7663146" y="17778405"/>
          <a:ext cx="2049820" cy="1176895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TAVO/GENERAL</a:t>
          </a:r>
        </a:p>
      </xdr:txBody>
    </xdr:sp>
    <xdr:clientData/>
  </xdr:twoCellAnchor>
  <xdr:twoCellAnchor>
    <xdr:from>
      <xdr:col>0</xdr:col>
      <xdr:colOff>16425797</xdr:colOff>
      <xdr:row>41</xdr:row>
      <xdr:rowOff>34532</xdr:rowOff>
    </xdr:from>
    <xdr:to>
      <xdr:col>0</xdr:col>
      <xdr:colOff>18516362</xdr:colOff>
      <xdr:row>44</xdr:row>
      <xdr:rowOff>314698</xdr:rowOff>
    </xdr:to>
    <xdr:sp>
      <xdr:nvSpPr>
        <xdr:cNvPr id="34" name="PAGADA"/>
        <xdr:cNvSpPr/>
      </xdr:nvSpPr>
      <xdr:spPr>
        <a:xfrm>
          <a:off x="16425797" y="17826597"/>
          <a:ext cx="2090564" cy="1183772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PAGADA</a:t>
          </a:r>
        </a:p>
      </xdr:txBody>
    </xdr:sp>
    <xdr:clientData/>
  </xdr:twoCellAnchor>
  <xdr:twoCellAnchor>
    <xdr:from>
      <xdr:col>2</xdr:col>
      <xdr:colOff>319684</xdr:colOff>
      <xdr:row>43</xdr:row>
      <xdr:rowOff>35715</xdr:rowOff>
    </xdr:from>
    <xdr:to>
      <xdr:col>3</xdr:col>
      <xdr:colOff>187747</xdr:colOff>
      <xdr:row>46</xdr:row>
      <xdr:rowOff>320056</xdr:rowOff>
    </xdr:to>
    <xdr:sp>
      <xdr:nvSpPr>
        <xdr:cNvPr id="35" name="NO PAGADA"/>
        <xdr:cNvSpPr/>
      </xdr:nvSpPr>
      <xdr:spPr>
        <a:xfrm>
          <a:off x="23243184" y="18409440"/>
          <a:ext cx="2179464" cy="1250177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NO PAGADA</a:t>
          </a:r>
        </a:p>
      </xdr:txBody>
    </xdr:sp>
    <xdr:clientData/>
  </xdr:twoCellAnchor>
  <xdr:twoCellAnchor>
    <xdr:from>
      <xdr:col>0</xdr:col>
      <xdr:colOff>19182786</xdr:colOff>
      <xdr:row>43</xdr:row>
      <xdr:rowOff>265695</xdr:rowOff>
    </xdr:from>
    <xdr:to>
      <xdr:col>1</xdr:col>
      <xdr:colOff>3125048</xdr:colOff>
      <xdr:row>46</xdr:row>
      <xdr:rowOff>2013</xdr:rowOff>
    </xdr:to>
    <xdr:sp>
      <xdr:nvSpPr>
        <xdr:cNvPr id="36" name="OPEN GYM"/>
        <xdr:cNvSpPr/>
      </xdr:nvSpPr>
      <xdr:spPr>
        <a:xfrm>
          <a:off x="19182785" y="18639420"/>
          <a:ext cx="3424064" cy="702154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OPEN GYM</a:t>
          </a:r>
        </a:p>
      </xdr:txBody>
    </xdr:sp>
    <xdr:clientData/>
  </xdr:twoCellAnchor>
  <xdr:twoCellAnchor>
    <xdr:from>
      <xdr:col>0</xdr:col>
      <xdr:colOff>10754543</xdr:colOff>
      <xdr:row>41</xdr:row>
      <xdr:rowOff>35274</xdr:rowOff>
    </xdr:from>
    <xdr:to>
      <xdr:col>0</xdr:col>
      <xdr:colOff>12794306</xdr:colOff>
      <xdr:row>44</xdr:row>
      <xdr:rowOff>256216</xdr:rowOff>
    </xdr:to>
    <xdr:sp>
      <xdr:nvSpPr>
        <xdr:cNvPr id="37" name="WELLHUB"/>
        <xdr:cNvSpPr/>
      </xdr:nvSpPr>
      <xdr:spPr>
        <a:xfrm>
          <a:off x="10754542" y="17827339"/>
          <a:ext cx="2039764" cy="1124548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WELLHUB</a:t>
          </a:r>
        </a:p>
      </xdr:txBody>
    </xdr:sp>
    <xdr:clientData/>
  </xdr:twoCellAnchor>
  <xdr:twoCellAnchor>
    <xdr:from>
      <xdr:col>0</xdr:col>
      <xdr:colOff>10754543</xdr:colOff>
      <xdr:row>37</xdr:row>
      <xdr:rowOff>288503</xdr:rowOff>
    </xdr:from>
    <xdr:to>
      <xdr:col>0</xdr:col>
      <xdr:colOff>12794306</xdr:colOff>
      <xdr:row>40</xdr:row>
      <xdr:rowOff>77333</xdr:rowOff>
    </xdr:to>
    <xdr:sp>
      <xdr:nvSpPr>
        <xdr:cNvPr id="38" name="SAUNA"/>
        <xdr:cNvSpPr/>
      </xdr:nvSpPr>
      <xdr:spPr>
        <a:xfrm>
          <a:off x="10754542" y="16693093"/>
          <a:ext cx="2039764" cy="825151"/>
        </a:xfrm>
        <a:prstGeom prst="rect">
          <a:avLst/>
        </a:prstGeom>
        <a:solidFill>
          <a:srgbClr val="A7C6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SAUNA</a:t>
          </a:r>
        </a:p>
      </xdr:txBody>
    </xdr:sp>
    <xdr:clientData/>
  </xdr:twoCellAnchor>
  <xdr:twoCellAnchor>
    <xdr:from>
      <xdr:col>3</xdr:col>
      <xdr:colOff>826455</xdr:colOff>
      <xdr:row>42</xdr:row>
      <xdr:rowOff>134181</xdr:rowOff>
    </xdr:from>
    <xdr:to>
      <xdr:col>5</xdr:col>
      <xdr:colOff>516718</xdr:colOff>
      <xdr:row>46</xdr:row>
      <xdr:rowOff>94037</xdr:rowOff>
    </xdr:to>
    <xdr:sp>
      <xdr:nvSpPr>
        <xdr:cNvPr id="39" name="DEMO"/>
        <xdr:cNvSpPr/>
      </xdr:nvSpPr>
      <xdr:spPr>
        <a:xfrm>
          <a:off x="26061354" y="18183421"/>
          <a:ext cx="2179465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DEMO</a:t>
          </a:r>
        </a:p>
      </xdr:txBody>
    </xdr:sp>
    <xdr:clientData/>
  </xdr:twoCellAnchor>
  <xdr:twoCellAnchor>
    <xdr:from>
      <xdr:col>0</xdr:col>
      <xdr:colOff>2290776</xdr:colOff>
      <xdr:row>0</xdr:row>
      <xdr:rowOff>1152039</xdr:rowOff>
    </xdr:from>
    <xdr:to>
      <xdr:col>0</xdr:col>
      <xdr:colOff>4381339</xdr:colOff>
      <xdr:row>0</xdr:row>
      <xdr:rowOff>2335810</xdr:rowOff>
    </xdr:to>
    <xdr:sp>
      <xdr:nvSpPr>
        <xdr:cNvPr id="40" name="EFECTIVO"/>
        <xdr:cNvSpPr/>
      </xdr:nvSpPr>
      <xdr:spPr>
        <a:xfrm>
          <a:off x="2290776" y="1152039"/>
          <a:ext cx="2090564" cy="1183771"/>
        </a:xfrm>
        <a:prstGeom prst="rect">
          <a:avLst/>
        </a:prstGeom>
        <a:solidFill>
          <a:srgbClr val="96D35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EFECTIVO</a:t>
          </a:r>
        </a:p>
      </xdr:txBody>
    </xdr:sp>
    <xdr:clientData/>
  </xdr:twoCellAnchor>
  <xdr:twoCellAnchor>
    <xdr:from>
      <xdr:col>0</xdr:col>
      <xdr:colOff>4835912</xdr:colOff>
      <xdr:row>0</xdr:row>
      <xdr:rowOff>1157561</xdr:rowOff>
    </xdr:from>
    <xdr:to>
      <xdr:col>0</xdr:col>
      <xdr:colOff>8259975</xdr:colOff>
      <xdr:row>0</xdr:row>
      <xdr:rowOff>2330288</xdr:rowOff>
    </xdr:to>
    <xdr:sp>
      <xdr:nvSpPr>
        <xdr:cNvPr id="41" name="CHECK IN"/>
        <xdr:cNvSpPr/>
      </xdr:nvSpPr>
      <xdr:spPr>
        <a:xfrm>
          <a:off x="4835912" y="1157561"/>
          <a:ext cx="3424064" cy="1172728"/>
        </a:xfrm>
        <a:prstGeom prst="rect">
          <a:avLst/>
        </a:prstGeom>
        <a:solidFill>
          <a:srgbClr val="3A8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CHECK IN</a:t>
          </a:r>
        </a:p>
      </xdr:txBody>
    </xdr:sp>
    <xdr:clientData/>
  </xdr:twoCellAnchor>
  <xdr:twoCellAnchor>
    <xdr:from>
      <xdr:col>0</xdr:col>
      <xdr:colOff>8419595</xdr:colOff>
      <xdr:row>0</xdr:row>
      <xdr:rowOff>1118837</xdr:rowOff>
    </xdr:from>
    <xdr:to>
      <xdr:col>0</xdr:col>
      <xdr:colOff>10599058</xdr:colOff>
      <xdr:row>0</xdr:row>
      <xdr:rowOff>2369013</xdr:rowOff>
    </xdr:to>
    <xdr:sp>
      <xdr:nvSpPr>
        <xdr:cNvPr id="42" name="TARJETA CREDITO"/>
        <xdr:cNvSpPr/>
      </xdr:nvSpPr>
      <xdr:spPr>
        <a:xfrm>
          <a:off x="8419594" y="1118836"/>
          <a:ext cx="2179464" cy="1250177"/>
        </a:xfrm>
        <a:prstGeom prst="rect">
          <a:avLst/>
        </a:prstGeom>
        <a:solidFill>
          <a:srgbClr val="BE38F3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CREDITO</a:t>
          </a:r>
        </a:p>
      </xdr:txBody>
    </xdr:sp>
    <xdr:clientData/>
  </xdr:twoCellAnchor>
  <xdr:twoCellAnchor>
    <xdr:from>
      <xdr:col>0</xdr:col>
      <xdr:colOff>10975157</xdr:colOff>
      <xdr:row>0</xdr:row>
      <xdr:rowOff>1118837</xdr:rowOff>
    </xdr:from>
    <xdr:to>
      <xdr:col>0</xdr:col>
      <xdr:colOff>13154620</xdr:colOff>
      <xdr:row>0</xdr:row>
      <xdr:rowOff>2369013</xdr:rowOff>
    </xdr:to>
    <xdr:sp>
      <xdr:nvSpPr>
        <xdr:cNvPr id="43" name="TARJETA DEBITO"/>
        <xdr:cNvSpPr/>
      </xdr:nvSpPr>
      <xdr:spPr>
        <a:xfrm>
          <a:off x="10975157" y="1118836"/>
          <a:ext cx="2179464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DEBITO</a:t>
          </a:r>
        </a:p>
      </xdr:txBody>
    </xdr:sp>
    <xdr:clientData/>
  </xdr:twoCellAnchor>
  <xdr:twoCellAnchor>
    <xdr:from>
      <xdr:col>0</xdr:col>
      <xdr:colOff>13530720</xdr:colOff>
      <xdr:row>0</xdr:row>
      <xdr:rowOff>1118837</xdr:rowOff>
    </xdr:from>
    <xdr:to>
      <xdr:col>0</xdr:col>
      <xdr:colOff>15710182</xdr:colOff>
      <xdr:row>0</xdr:row>
      <xdr:rowOff>2369013</xdr:rowOff>
    </xdr:to>
    <xdr:sp>
      <xdr:nvSpPr>
        <xdr:cNvPr id="44" name="TRANSFERENCIA"/>
        <xdr:cNvSpPr/>
      </xdr:nvSpPr>
      <xdr:spPr>
        <a:xfrm>
          <a:off x="13530719" y="1118836"/>
          <a:ext cx="2179464" cy="1250177"/>
        </a:xfrm>
        <a:prstGeom prst="rect">
          <a:avLst/>
        </a:prstGeom>
        <a:solidFill>
          <a:srgbClr val="F5EC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TRANSFERENCIA</a:t>
          </a:r>
        </a:p>
      </xdr:txBody>
    </xdr:sp>
    <xdr:clientData/>
  </xdr:twoCellAnchor>
  <xdr:twoCellAnchor>
    <xdr:from>
      <xdr:col>0</xdr:col>
      <xdr:colOff>16086283</xdr:colOff>
      <xdr:row>0</xdr:row>
      <xdr:rowOff>1118837</xdr:rowOff>
    </xdr:from>
    <xdr:to>
      <xdr:col>0</xdr:col>
      <xdr:colOff>18265748</xdr:colOff>
      <xdr:row>0</xdr:row>
      <xdr:rowOff>2369013</xdr:rowOff>
    </xdr:to>
    <xdr:sp>
      <xdr:nvSpPr>
        <xdr:cNvPr id="45" name="INACTIVO"/>
        <xdr:cNvSpPr/>
      </xdr:nvSpPr>
      <xdr:spPr>
        <a:xfrm>
          <a:off x="16086283" y="1118836"/>
          <a:ext cx="2179464" cy="1250177"/>
        </a:xfrm>
        <a:prstGeom prst="rect">
          <a:avLst/>
        </a:prstGeom>
        <a:solidFill>
          <a:srgbClr val="FF4015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INACTIVO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200102</xdr:colOff>
      <xdr:row>73</xdr:row>
      <xdr:rowOff>186907</xdr:rowOff>
    </xdr:from>
    <xdr:to>
      <xdr:col>3</xdr:col>
      <xdr:colOff>1163413</xdr:colOff>
      <xdr:row>76</xdr:row>
      <xdr:rowOff>221023</xdr:rowOff>
    </xdr:to>
    <xdr:sp>
      <xdr:nvSpPr>
        <xdr:cNvPr id="47" name="CARLOS/ TAEKWONDO/ KICK BOXING/ DEFENSA PERSONAL"/>
        <xdr:cNvSpPr/>
      </xdr:nvSpPr>
      <xdr:spPr>
        <a:xfrm>
          <a:off x="403302" y="24452162"/>
          <a:ext cx="4493912" cy="940897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 CARLOS/ TAEKWONDO/ KICK BOXING/ DEFENSA PERSONAL</a:t>
          </a:r>
        </a:p>
      </xdr:txBody>
    </xdr:sp>
    <xdr:clientData/>
  </xdr:twoCellAnchor>
  <xdr:twoCellAnchor>
    <xdr:from>
      <xdr:col>4</xdr:col>
      <xdr:colOff>631530</xdr:colOff>
      <xdr:row>73</xdr:row>
      <xdr:rowOff>54624</xdr:rowOff>
    </xdr:from>
    <xdr:to>
      <xdr:col>7</xdr:col>
      <xdr:colOff>1172963</xdr:colOff>
      <xdr:row>75</xdr:row>
      <xdr:rowOff>230288</xdr:rowOff>
    </xdr:to>
    <xdr:sp>
      <xdr:nvSpPr>
        <xdr:cNvPr id="48" name="MARCOS / BASQUETBOL"/>
        <xdr:cNvSpPr/>
      </xdr:nvSpPr>
      <xdr:spPr>
        <a:xfrm>
          <a:off x="5609930" y="24319879"/>
          <a:ext cx="4275234" cy="827810"/>
        </a:xfrm>
        <a:prstGeom prst="rect">
          <a:avLst/>
        </a:prstGeom>
        <a:solidFill>
          <a:srgbClr val="70707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MARCOS / BASQUETBOL</a:t>
          </a:r>
        </a:p>
      </xdr:txBody>
    </xdr:sp>
    <xdr:clientData/>
  </xdr:twoCellAnchor>
  <xdr:twoCellAnchor>
    <xdr:from>
      <xdr:col>0</xdr:col>
      <xdr:colOff>35400</xdr:colOff>
      <xdr:row>77</xdr:row>
      <xdr:rowOff>153068</xdr:rowOff>
    </xdr:from>
    <xdr:to>
      <xdr:col>4</xdr:col>
      <xdr:colOff>902787</xdr:colOff>
      <xdr:row>79</xdr:row>
      <xdr:rowOff>98165</xdr:rowOff>
    </xdr:to>
    <xdr:sp>
      <xdr:nvSpPr>
        <xdr:cNvPr id="49" name="BRYAN / GYM"/>
        <xdr:cNvSpPr/>
      </xdr:nvSpPr>
      <xdr:spPr>
        <a:xfrm>
          <a:off x="35400" y="25680703"/>
          <a:ext cx="5845788" cy="656298"/>
        </a:xfrm>
        <a:prstGeom prst="rect">
          <a:avLst/>
        </a:prstGeom>
        <a:solidFill>
          <a:srgbClr val="B1DD8B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BRYAN / GYM</a:t>
          </a:r>
        </a:p>
      </xdr:txBody>
    </xdr:sp>
    <xdr:clientData/>
  </xdr:twoCellAnchor>
  <xdr:twoCellAnchor>
    <xdr:from>
      <xdr:col>4</xdr:col>
      <xdr:colOff>1091593</xdr:colOff>
      <xdr:row>76</xdr:row>
      <xdr:rowOff>256346</xdr:rowOff>
    </xdr:from>
    <xdr:to>
      <xdr:col>7</xdr:col>
      <xdr:colOff>499812</xdr:colOff>
      <xdr:row>79</xdr:row>
      <xdr:rowOff>130377</xdr:rowOff>
    </xdr:to>
    <xdr:sp>
      <xdr:nvSpPr>
        <xdr:cNvPr id="50" name="TAVO/GENERAL"/>
        <xdr:cNvSpPr/>
      </xdr:nvSpPr>
      <xdr:spPr>
        <a:xfrm>
          <a:off x="6069993" y="25428381"/>
          <a:ext cx="3142020" cy="940832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TAVO/GENERAL</a:t>
          </a:r>
        </a:p>
      </xdr:txBody>
    </xdr:sp>
    <xdr:clientData/>
  </xdr:twoCellAnchor>
  <xdr:twoCellAnchor>
    <xdr:from>
      <xdr:col>13</xdr:col>
      <xdr:colOff>8728</xdr:colOff>
      <xdr:row>81</xdr:row>
      <xdr:rowOff>211496</xdr:rowOff>
    </xdr:from>
    <xdr:to>
      <xdr:col>14</xdr:col>
      <xdr:colOff>829291</xdr:colOff>
      <xdr:row>84</xdr:row>
      <xdr:rowOff>328467</xdr:rowOff>
    </xdr:to>
    <xdr:sp>
      <xdr:nvSpPr>
        <xdr:cNvPr id="51" name="PAGADA"/>
        <xdr:cNvSpPr/>
      </xdr:nvSpPr>
      <xdr:spPr>
        <a:xfrm>
          <a:off x="16340928" y="27161531"/>
          <a:ext cx="2090564" cy="1183772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PAGADA</a:t>
          </a:r>
        </a:p>
      </xdr:txBody>
    </xdr:sp>
    <xdr:clientData/>
  </xdr:twoCellAnchor>
  <xdr:twoCellAnchor>
    <xdr:from>
      <xdr:col>17</xdr:col>
      <xdr:colOff>1943735</xdr:colOff>
      <xdr:row>78</xdr:row>
      <xdr:rowOff>168157</xdr:rowOff>
    </xdr:from>
    <xdr:to>
      <xdr:col>18</xdr:col>
      <xdr:colOff>636528</xdr:colOff>
      <xdr:row>81</xdr:row>
      <xdr:rowOff>351533</xdr:rowOff>
    </xdr:to>
    <xdr:sp>
      <xdr:nvSpPr>
        <xdr:cNvPr id="52" name="NO PAGADA"/>
        <xdr:cNvSpPr/>
      </xdr:nvSpPr>
      <xdr:spPr>
        <a:xfrm>
          <a:off x="22619335" y="26051392"/>
          <a:ext cx="1969394" cy="1250177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NO PAGADA</a:t>
          </a:r>
        </a:p>
      </xdr:txBody>
    </xdr:sp>
    <xdr:clientData/>
  </xdr:twoCellAnchor>
  <xdr:twoCellAnchor>
    <xdr:from>
      <xdr:col>15</xdr:col>
      <xdr:colOff>53013</xdr:colOff>
      <xdr:row>79</xdr:row>
      <xdr:rowOff>324839</xdr:rowOff>
    </xdr:from>
    <xdr:to>
      <xdr:col>17</xdr:col>
      <xdr:colOff>1673676</xdr:colOff>
      <xdr:row>81</xdr:row>
      <xdr:rowOff>315792</xdr:rowOff>
    </xdr:to>
    <xdr:sp>
      <xdr:nvSpPr>
        <xdr:cNvPr id="53" name="OPEN GYM"/>
        <xdr:cNvSpPr/>
      </xdr:nvSpPr>
      <xdr:spPr>
        <a:xfrm>
          <a:off x="18925213" y="26563674"/>
          <a:ext cx="3424064" cy="702154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OPEN GYM</a:t>
          </a:r>
        </a:p>
      </xdr:txBody>
    </xdr:sp>
    <xdr:clientData/>
  </xdr:twoCellAnchor>
  <xdr:twoCellAnchor>
    <xdr:from>
      <xdr:col>7</xdr:col>
      <xdr:colOff>1031530</xdr:colOff>
      <xdr:row>76</xdr:row>
      <xdr:rowOff>84613</xdr:rowOff>
    </xdr:from>
    <xdr:to>
      <xdr:col>9</xdr:col>
      <xdr:colOff>531293</xdr:colOff>
      <xdr:row>79</xdr:row>
      <xdr:rowOff>142360</xdr:rowOff>
    </xdr:to>
    <xdr:sp>
      <xdr:nvSpPr>
        <xdr:cNvPr id="54" name="WELLHUB"/>
        <xdr:cNvSpPr/>
      </xdr:nvSpPr>
      <xdr:spPr>
        <a:xfrm>
          <a:off x="9743730" y="25256648"/>
          <a:ext cx="2039764" cy="1124548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WELLHUB</a:t>
          </a:r>
        </a:p>
      </xdr:txBody>
    </xdr:sp>
    <xdr:clientData/>
  </xdr:twoCellAnchor>
  <xdr:twoCellAnchor>
    <xdr:from>
      <xdr:col>8</xdr:col>
      <xdr:colOff>1045063</xdr:colOff>
      <xdr:row>72</xdr:row>
      <xdr:rowOff>153312</xdr:rowOff>
    </xdr:from>
    <xdr:to>
      <xdr:col>10</xdr:col>
      <xdr:colOff>494026</xdr:colOff>
      <xdr:row>75</xdr:row>
      <xdr:rowOff>248211</xdr:rowOff>
    </xdr:to>
    <xdr:sp>
      <xdr:nvSpPr>
        <xdr:cNvPr id="55" name="SAUNA"/>
        <xdr:cNvSpPr/>
      </xdr:nvSpPr>
      <xdr:spPr>
        <a:xfrm>
          <a:off x="11027263" y="24062967"/>
          <a:ext cx="1988964" cy="1102645"/>
        </a:xfrm>
        <a:prstGeom prst="rect">
          <a:avLst/>
        </a:prstGeom>
        <a:solidFill>
          <a:srgbClr val="A7C6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SAUNA</a:t>
          </a:r>
        </a:p>
      </xdr:txBody>
    </xdr:sp>
    <xdr:clientData/>
  </xdr:twoCellAnchor>
  <xdr:twoCellAnchor>
    <xdr:from>
      <xdr:col>18</xdr:col>
      <xdr:colOff>906588</xdr:colOff>
      <xdr:row>78</xdr:row>
      <xdr:rowOff>168157</xdr:rowOff>
    </xdr:from>
    <xdr:to>
      <xdr:col>19</xdr:col>
      <xdr:colOff>1320751</xdr:colOff>
      <xdr:row>81</xdr:row>
      <xdr:rowOff>351533</xdr:rowOff>
    </xdr:to>
    <xdr:sp>
      <xdr:nvSpPr>
        <xdr:cNvPr id="56" name="DEMO"/>
        <xdr:cNvSpPr/>
      </xdr:nvSpPr>
      <xdr:spPr>
        <a:xfrm>
          <a:off x="24858788" y="26051392"/>
          <a:ext cx="2179464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DEMO</a:t>
          </a:r>
        </a:p>
      </xdr:txBody>
    </xdr:sp>
    <xdr:clientData/>
  </xdr:twoCellAnchor>
  <xdr:twoCellAnchor>
    <xdr:from>
      <xdr:col>1</xdr:col>
      <xdr:colOff>2087576</xdr:colOff>
      <xdr:row>0</xdr:row>
      <xdr:rowOff>1152039</xdr:rowOff>
    </xdr:from>
    <xdr:to>
      <xdr:col>3</xdr:col>
      <xdr:colOff>647539</xdr:colOff>
      <xdr:row>0</xdr:row>
      <xdr:rowOff>2335810</xdr:rowOff>
    </xdr:to>
    <xdr:sp>
      <xdr:nvSpPr>
        <xdr:cNvPr id="57" name="EFECTIVO"/>
        <xdr:cNvSpPr/>
      </xdr:nvSpPr>
      <xdr:spPr>
        <a:xfrm>
          <a:off x="2290776" y="1152039"/>
          <a:ext cx="2090564" cy="1183771"/>
        </a:xfrm>
        <a:prstGeom prst="rect">
          <a:avLst/>
        </a:prstGeom>
        <a:solidFill>
          <a:srgbClr val="96D35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EFECTIVO</a:t>
          </a:r>
        </a:p>
      </xdr:txBody>
    </xdr:sp>
    <xdr:clientData/>
  </xdr:twoCellAnchor>
  <xdr:twoCellAnchor>
    <xdr:from>
      <xdr:col>3</xdr:col>
      <xdr:colOff>1102112</xdr:colOff>
      <xdr:row>0</xdr:row>
      <xdr:rowOff>1157561</xdr:rowOff>
    </xdr:from>
    <xdr:to>
      <xdr:col>6</xdr:col>
      <xdr:colOff>792375</xdr:colOff>
      <xdr:row>0</xdr:row>
      <xdr:rowOff>2330288</xdr:rowOff>
    </xdr:to>
    <xdr:sp>
      <xdr:nvSpPr>
        <xdr:cNvPr id="58" name="CHECK IN"/>
        <xdr:cNvSpPr/>
      </xdr:nvSpPr>
      <xdr:spPr>
        <a:xfrm>
          <a:off x="4835912" y="1157561"/>
          <a:ext cx="3424064" cy="1172728"/>
        </a:xfrm>
        <a:prstGeom prst="rect">
          <a:avLst/>
        </a:prstGeom>
        <a:solidFill>
          <a:srgbClr val="3A8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CHECK IN</a:t>
          </a:r>
        </a:p>
      </xdr:txBody>
    </xdr:sp>
    <xdr:clientData/>
  </xdr:twoCellAnchor>
  <xdr:twoCellAnchor>
    <xdr:from>
      <xdr:col>6</xdr:col>
      <xdr:colOff>951994</xdr:colOff>
      <xdr:row>0</xdr:row>
      <xdr:rowOff>1118837</xdr:rowOff>
    </xdr:from>
    <xdr:to>
      <xdr:col>8</xdr:col>
      <xdr:colOff>616857</xdr:colOff>
      <xdr:row>0</xdr:row>
      <xdr:rowOff>2369013</xdr:rowOff>
    </xdr:to>
    <xdr:sp>
      <xdr:nvSpPr>
        <xdr:cNvPr id="59" name="TARJETA CREDITO"/>
        <xdr:cNvSpPr/>
      </xdr:nvSpPr>
      <xdr:spPr>
        <a:xfrm>
          <a:off x="8419594" y="1118836"/>
          <a:ext cx="2179464" cy="1250177"/>
        </a:xfrm>
        <a:prstGeom prst="rect">
          <a:avLst/>
        </a:prstGeom>
        <a:solidFill>
          <a:srgbClr val="BE38F3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CREDITO</a:t>
          </a:r>
        </a:p>
      </xdr:txBody>
    </xdr:sp>
    <xdr:clientData/>
  </xdr:twoCellAnchor>
  <xdr:twoCellAnchor>
    <xdr:from>
      <xdr:col>8</xdr:col>
      <xdr:colOff>992957</xdr:colOff>
      <xdr:row>0</xdr:row>
      <xdr:rowOff>1118837</xdr:rowOff>
    </xdr:from>
    <xdr:to>
      <xdr:col>10</xdr:col>
      <xdr:colOff>632420</xdr:colOff>
      <xdr:row>0</xdr:row>
      <xdr:rowOff>2369013</xdr:rowOff>
    </xdr:to>
    <xdr:sp>
      <xdr:nvSpPr>
        <xdr:cNvPr id="60" name="TARJETA DEBITO"/>
        <xdr:cNvSpPr/>
      </xdr:nvSpPr>
      <xdr:spPr>
        <a:xfrm>
          <a:off x="10975157" y="1118836"/>
          <a:ext cx="2179464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DEBITO</a:t>
          </a:r>
        </a:p>
      </xdr:txBody>
    </xdr:sp>
    <xdr:clientData/>
  </xdr:twoCellAnchor>
  <xdr:twoCellAnchor>
    <xdr:from>
      <xdr:col>10</xdr:col>
      <xdr:colOff>1008519</xdr:colOff>
      <xdr:row>0</xdr:row>
      <xdr:rowOff>1118837</xdr:rowOff>
    </xdr:from>
    <xdr:to>
      <xdr:col>12</xdr:col>
      <xdr:colOff>647982</xdr:colOff>
      <xdr:row>0</xdr:row>
      <xdr:rowOff>2369013</xdr:rowOff>
    </xdr:to>
    <xdr:sp>
      <xdr:nvSpPr>
        <xdr:cNvPr id="61" name="TRANSFERENCIA"/>
        <xdr:cNvSpPr/>
      </xdr:nvSpPr>
      <xdr:spPr>
        <a:xfrm>
          <a:off x="13530719" y="1118836"/>
          <a:ext cx="2179464" cy="1250177"/>
        </a:xfrm>
        <a:prstGeom prst="rect">
          <a:avLst/>
        </a:prstGeom>
        <a:solidFill>
          <a:srgbClr val="F5EC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TRANSFERENCIA</a:t>
          </a:r>
        </a:p>
      </xdr:txBody>
    </xdr:sp>
    <xdr:clientData/>
  </xdr:twoCellAnchor>
  <xdr:twoCellAnchor>
    <xdr:from>
      <xdr:col>12</xdr:col>
      <xdr:colOff>1024083</xdr:colOff>
      <xdr:row>0</xdr:row>
      <xdr:rowOff>1118837</xdr:rowOff>
    </xdr:from>
    <xdr:to>
      <xdr:col>14</xdr:col>
      <xdr:colOff>663546</xdr:colOff>
      <xdr:row>0</xdr:row>
      <xdr:rowOff>2369013</xdr:rowOff>
    </xdr:to>
    <xdr:sp>
      <xdr:nvSpPr>
        <xdr:cNvPr id="62" name="INACTIVO"/>
        <xdr:cNvSpPr/>
      </xdr:nvSpPr>
      <xdr:spPr>
        <a:xfrm>
          <a:off x="16086283" y="1118836"/>
          <a:ext cx="2179464" cy="1250177"/>
        </a:xfrm>
        <a:prstGeom prst="rect">
          <a:avLst/>
        </a:prstGeom>
        <a:solidFill>
          <a:srgbClr val="FF4015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INACTIVO</a:t>
          </a:r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200102</xdr:colOff>
      <xdr:row>82</xdr:row>
      <xdr:rowOff>428810</xdr:rowOff>
    </xdr:from>
    <xdr:to>
      <xdr:col>3</xdr:col>
      <xdr:colOff>744313</xdr:colOff>
      <xdr:row>84</xdr:row>
      <xdr:rowOff>417206</xdr:rowOff>
    </xdr:to>
    <xdr:sp>
      <xdr:nvSpPr>
        <xdr:cNvPr id="64" name="CARLOS/ TAEKWONDO/ KICK BOXING/ DEFENSA PERSONAL"/>
        <xdr:cNvSpPr/>
      </xdr:nvSpPr>
      <xdr:spPr>
        <a:xfrm>
          <a:off x="403302" y="33545965"/>
          <a:ext cx="4493912" cy="940897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 CARLOS/ TAEKWONDO/ KICK BOXING/ DEFENSA PERSONAL</a:t>
          </a:r>
        </a:p>
      </xdr:txBody>
    </xdr:sp>
    <xdr:clientData/>
  </xdr:twoCellAnchor>
  <xdr:twoCellAnchor>
    <xdr:from>
      <xdr:col>4</xdr:col>
      <xdr:colOff>212430</xdr:colOff>
      <xdr:row>82</xdr:row>
      <xdr:rowOff>298175</xdr:rowOff>
    </xdr:from>
    <xdr:to>
      <xdr:col>7</xdr:col>
      <xdr:colOff>423663</xdr:colOff>
      <xdr:row>84</xdr:row>
      <xdr:rowOff>173484</xdr:rowOff>
    </xdr:to>
    <xdr:sp>
      <xdr:nvSpPr>
        <xdr:cNvPr id="65" name="MARCOS / BASQUETBOL"/>
        <xdr:cNvSpPr/>
      </xdr:nvSpPr>
      <xdr:spPr>
        <a:xfrm>
          <a:off x="5609930" y="33415330"/>
          <a:ext cx="4275234" cy="827810"/>
        </a:xfrm>
        <a:prstGeom prst="rect">
          <a:avLst/>
        </a:prstGeom>
        <a:solidFill>
          <a:srgbClr val="70707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MARCOS / BASQUETBOL</a:t>
          </a:r>
        </a:p>
      </xdr:txBody>
    </xdr:sp>
    <xdr:clientData/>
  </xdr:twoCellAnchor>
  <xdr:twoCellAnchor>
    <xdr:from>
      <xdr:col>4</xdr:col>
      <xdr:colOff>672493</xdr:colOff>
      <xdr:row>84</xdr:row>
      <xdr:rowOff>454180</xdr:rowOff>
    </xdr:from>
    <xdr:to>
      <xdr:col>6</xdr:col>
      <xdr:colOff>995112</xdr:colOff>
      <xdr:row>86</xdr:row>
      <xdr:rowOff>442511</xdr:rowOff>
    </xdr:to>
    <xdr:sp>
      <xdr:nvSpPr>
        <xdr:cNvPr id="66" name="TAVO/GENERAL"/>
        <xdr:cNvSpPr/>
      </xdr:nvSpPr>
      <xdr:spPr>
        <a:xfrm>
          <a:off x="6069993" y="34523835"/>
          <a:ext cx="3142020" cy="940832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TAVO/GENERAL</a:t>
          </a:r>
        </a:p>
      </xdr:txBody>
    </xdr:sp>
    <xdr:clientData/>
  </xdr:twoCellAnchor>
  <xdr:twoCellAnchor>
    <xdr:from>
      <xdr:col>19</xdr:col>
      <xdr:colOff>3636252</xdr:colOff>
      <xdr:row>89</xdr:row>
      <xdr:rowOff>203817</xdr:rowOff>
    </xdr:from>
    <xdr:to>
      <xdr:col>21</xdr:col>
      <xdr:colOff>265815</xdr:colOff>
      <xdr:row>92</xdr:row>
      <xdr:rowOff>174103</xdr:rowOff>
    </xdr:to>
    <xdr:sp>
      <xdr:nvSpPr>
        <xdr:cNvPr id="67" name="PAGADA"/>
        <xdr:cNvSpPr/>
      </xdr:nvSpPr>
      <xdr:spPr>
        <a:xfrm>
          <a:off x="28807652" y="36654722"/>
          <a:ext cx="2090564" cy="1183772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PAGADA</a:t>
          </a:r>
        </a:p>
      </xdr:txBody>
    </xdr:sp>
    <xdr:clientData/>
  </xdr:twoCellAnchor>
  <xdr:twoCellAnchor>
    <xdr:from>
      <xdr:col>18</xdr:col>
      <xdr:colOff>306175</xdr:colOff>
      <xdr:row>88</xdr:row>
      <xdr:rowOff>165885</xdr:rowOff>
    </xdr:from>
    <xdr:to>
      <xdr:col>19</xdr:col>
      <xdr:colOff>713468</xdr:colOff>
      <xdr:row>92</xdr:row>
      <xdr:rowOff>89985</xdr:rowOff>
    </xdr:to>
    <xdr:sp>
      <xdr:nvSpPr>
        <xdr:cNvPr id="68" name="NO PAGADA"/>
        <xdr:cNvSpPr/>
      </xdr:nvSpPr>
      <xdr:spPr>
        <a:xfrm>
          <a:off x="23915475" y="36140540"/>
          <a:ext cx="1969394" cy="1613836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NO PAGADA</a:t>
          </a:r>
        </a:p>
      </xdr:txBody>
    </xdr:sp>
    <xdr:clientData/>
  </xdr:twoCellAnchor>
  <xdr:twoCellAnchor>
    <xdr:from>
      <xdr:col>15</xdr:col>
      <xdr:colOff>320453</xdr:colOff>
      <xdr:row>98</xdr:row>
      <xdr:rowOff>53434</xdr:rowOff>
    </xdr:from>
    <xdr:to>
      <xdr:col>17</xdr:col>
      <xdr:colOff>1153716</xdr:colOff>
      <xdr:row>99</xdr:row>
      <xdr:rowOff>279337</xdr:rowOff>
    </xdr:to>
    <xdr:sp>
      <xdr:nvSpPr>
        <xdr:cNvPr id="69" name="OPEN GYM"/>
        <xdr:cNvSpPr/>
      </xdr:nvSpPr>
      <xdr:spPr>
        <a:xfrm>
          <a:off x="19941953" y="40575324"/>
          <a:ext cx="3424064" cy="702154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OPEN GYM</a:t>
          </a:r>
        </a:p>
      </xdr:txBody>
    </xdr:sp>
    <xdr:clientData/>
  </xdr:twoCellAnchor>
  <xdr:twoCellAnchor>
    <xdr:from>
      <xdr:col>7</xdr:col>
      <xdr:colOff>282230</xdr:colOff>
      <xdr:row>84</xdr:row>
      <xdr:rowOff>282447</xdr:rowOff>
    </xdr:from>
    <xdr:to>
      <xdr:col>8</xdr:col>
      <xdr:colOff>1051993</xdr:colOff>
      <xdr:row>86</xdr:row>
      <xdr:rowOff>454495</xdr:rowOff>
    </xdr:to>
    <xdr:sp>
      <xdr:nvSpPr>
        <xdr:cNvPr id="70" name="WELLHUB"/>
        <xdr:cNvSpPr/>
      </xdr:nvSpPr>
      <xdr:spPr>
        <a:xfrm>
          <a:off x="9743730" y="34352102"/>
          <a:ext cx="2039764" cy="1124549"/>
        </a:xfrm>
        <a:prstGeom prst="rect">
          <a:avLst/>
        </a:prstGeom>
        <a:solidFill>
          <a:schemeClr val="accent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WELLHUB</a:t>
          </a:r>
        </a:p>
      </xdr:txBody>
    </xdr:sp>
    <xdr:clientData/>
  </xdr:twoCellAnchor>
  <xdr:twoCellAnchor>
    <xdr:from>
      <xdr:col>8</xdr:col>
      <xdr:colOff>295763</xdr:colOff>
      <xdr:row>82</xdr:row>
      <xdr:rowOff>41264</xdr:rowOff>
    </xdr:from>
    <xdr:to>
      <xdr:col>9</xdr:col>
      <xdr:colOff>1014726</xdr:colOff>
      <xdr:row>84</xdr:row>
      <xdr:rowOff>191409</xdr:rowOff>
    </xdr:to>
    <xdr:sp>
      <xdr:nvSpPr>
        <xdr:cNvPr id="71" name="SAUNA"/>
        <xdr:cNvSpPr/>
      </xdr:nvSpPr>
      <xdr:spPr>
        <a:xfrm>
          <a:off x="11027263" y="33158419"/>
          <a:ext cx="1988964" cy="1102646"/>
        </a:xfrm>
        <a:prstGeom prst="rect">
          <a:avLst/>
        </a:prstGeom>
        <a:solidFill>
          <a:schemeClr val="accent2">
            <a:hueOff val="-85258"/>
            <a:satOff val="14347"/>
            <a:lumOff val="22373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SAUNA</a:t>
          </a:r>
        </a:p>
      </xdr:txBody>
    </xdr:sp>
    <xdr:clientData/>
  </xdr:twoCellAnchor>
  <xdr:twoCellAnchor>
    <xdr:from>
      <xdr:col>19</xdr:col>
      <xdr:colOff>1085127</xdr:colOff>
      <xdr:row>89</xdr:row>
      <xdr:rowOff>142117</xdr:rowOff>
    </xdr:from>
    <xdr:to>
      <xdr:col>19</xdr:col>
      <xdr:colOff>3264590</xdr:colOff>
      <xdr:row>92</xdr:row>
      <xdr:rowOff>235797</xdr:rowOff>
    </xdr:to>
    <xdr:sp>
      <xdr:nvSpPr>
        <xdr:cNvPr id="72" name="DEMO"/>
        <xdr:cNvSpPr/>
      </xdr:nvSpPr>
      <xdr:spPr>
        <a:xfrm>
          <a:off x="26256527" y="36593022"/>
          <a:ext cx="2179464" cy="1307166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DEMO</a:t>
          </a:r>
        </a:p>
      </xdr:txBody>
    </xdr:sp>
    <xdr:clientData/>
  </xdr:twoCellAnchor>
  <xdr:twoCellAnchor>
    <xdr:from>
      <xdr:col>1</xdr:col>
      <xdr:colOff>2087576</xdr:colOff>
      <xdr:row>0</xdr:row>
      <xdr:rowOff>1152039</xdr:rowOff>
    </xdr:from>
    <xdr:to>
      <xdr:col>3</xdr:col>
      <xdr:colOff>228439</xdr:colOff>
      <xdr:row>0</xdr:row>
      <xdr:rowOff>2335810</xdr:rowOff>
    </xdr:to>
    <xdr:sp>
      <xdr:nvSpPr>
        <xdr:cNvPr id="73" name="EFECTIVO"/>
        <xdr:cNvSpPr/>
      </xdr:nvSpPr>
      <xdr:spPr>
        <a:xfrm>
          <a:off x="2290776" y="1152039"/>
          <a:ext cx="2090564" cy="1183771"/>
        </a:xfrm>
        <a:prstGeom prst="rect">
          <a:avLst/>
        </a:prstGeom>
        <a:solidFill>
          <a:srgbClr val="96D35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EFECTIVO</a:t>
          </a:r>
        </a:p>
      </xdr:txBody>
    </xdr:sp>
    <xdr:clientData/>
  </xdr:twoCellAnchor>
  <xdr:twoCellAnchor>
    <xdr:from>
      <xdr:col>3</xdr:col>
      <xdr:colOff>683012</xdr:colOff>
      <xdr:row>0</xdr:row>
      <xdr:rowOff>1157561</xdr:rowOff>
    </xdr:from>
    <xdr:to>
      <xdr:col>6</xdr:col>
      <xdr:colOff>43075</xdr:colOff>
      <xdr:row>0</xdr:row>
      <xdr:rowOff>2330288</xdr:rowOff>
    </xdr:to>
    <xdr:sp>
      <xdr:nvSpPr>
        <xdr:cNvPr id="74" name="CHECK IN"/>
        <xdr:cNvSpPr/>
      </xdr:nvSpPr>
      <xdr:spPr>
        <a:xfrm>
          <a:off x="4835912" y="1157561"/>
          <a:ext cx="3424064" cy="1172728"/>
        </a:xfrm>
        <a:prstGeom prst="rect">
          <a:avLst/>
        </a:prstGeom>
        <a:solidFill>
          <a:srgbClr val="3A8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CHECK IN</a:t>
          </a:r>
        </a:p>
      </xdr:txBody>
    </xdr:sp>
    <xdr:clientData/>
  </xdr:twoCellAnchor>
  <xdr:twoCellAnchor>
    <xdr:from>
      <xdr:col>6</xdr:col>
      <xdr:colOff>202694</xdr:colOff>
      <xdr:row>0</xdr:row>
      <xdr:rowOff>1118837</xdr:rowOff>
    </xdr:from>
    <xdr:to>
      <xdr:col>7</xdr:col>
      <xdr:colOff>1137557</xdr:colOff>
      <xdr:row>0</xdr:row>
      <xdr:rowOff>2369013</xdr:rowOff>
    </xdr:to>
    <xdr:sp>
      <xdr:nvSpPr>
        <xdr:cNvPr id="75" name="TARJETA CREDITO"/>
        <xdr:cNvSpPr/>
      </xdr:nvSpPr>
      <xdr:spPr>
        <a:xfrm>
          <a:off x="8419594" y="1118836"/>
          <a:ext cx="2179464" cy="1250177"/>
        </a:xfrm>
        <a:prstGeom prst="rect">
          <a:avLst/>
        </a:prstGeom>
        <a:solidFill>
          <a:srgbClr val="BE38F3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CREDITO</a:t>
          </a:r>
        </a:p>
      </xdr:txBody>
    </xdr:sp>
    <xdr:clientData/>
  </xdr:twoCellAnchor>
  <xdr:twoCellAnchor>
    <xdr:from>
      <xdr:col>8</xdr:col>
      <xdr:colOff>243657</xdr:colOff>
      <xdr:row>0</xdr:row>
      <xdr:rowOff>1118837</xdr:rowOff>
    </xdr:from>
    <xdr:to>
      <xdr:col>9</xdr:col>
      <xdr:colOff>1153120</xdr:colOff>
      <xdr:row>0</xdr:row>
      <xdr:rowOff>2369013</xdr:rowOff>
    </xdr:to>
    <xdr:sp>
      <xdr:nvSpPr>
        <xdr:cNvPr id="76" name="TARJETA DEBITO"/>
        <xdr:cNvSpPr/>
      </xdr:nvSpPr>
      <xdr:spPr>
        <a:xfrm>
          <a:off x="10975157" y="1118836"/>
          <a:ext cx="2179464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DEBITO</a:t>
          </a:r>
        </a:p>
      </xdr:txBody>
    </xdr:sp>
    <xdr:clientData/>
  </xdr:twoCellAnchor>
  <xdr:twoCellAnchor>
    <xdr:from>
      <xdr:col>10</xdr:col>
      <xdr:colOff>259219</xdr:colOff>
      <xdr:row>0</xdr:row>
      <xdr:rowOff>1118837</xdr:rowOff>
    </xdr:from>
    <xdr:to>
      <xdr:col>11</xdr:col>
      <xdr:colOff>1168682</xdr:colOff>
      <xdr:row>0</xdr:row>
      <xdr:rowOff>2369013</xdr:rowOff>
    </xdr:to>
    <xdr:sp>
      <xdr:nvSpPr>
        <xdr:cNvPr id="77" name="TRANSFERENCIA"/>
        <xdr:cNvSpPr/>
      </xdr:nvSpPr>
      <xdr:spPr>
        <a:xfrm>
          <a:off x="13530719" y="1118836"/>
          <a:ext cx="2179464" cy="1250177"/>
        </a:xfrm>
        <a:prstGeom prst="rect">
          <a:avLst/>
        </a:prstGeom>
        <a:solidFill>
          <a:srgbClr val="F5EC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TRANSFERENCIA</a:t>
          </a:r>
        </a:p>
      </xdr:txBody>
    </xdr:sp>
    <xdr:clientData/>
  </xdr:twoCellAnchor>
  <xdr:twoCellAnchor>
    <xdr:from>
      <xdr:col>12</xdr:col>
      <xdr:colOff>274783</xdr:colOff>
      <xdr:row>0</xdr:row>
      <xdr:rowOff>1118837</xdr:rowOff>
    </xdr:from>
    <xdr:to>
      <xdr:col>13</xdr:col>
      <xdr:colOff>1184246</xdr:colOff>
      <xdr:row>0</xdr:row>
      <xdr:rowOff>2369013</xdr:rowOff>
    </xdr:to>
    <xdr:sp>
      <xdr:nvSpPr>
        <xdr:cNvPr id="78" name="INACTIVO"/>
        <xdr:cNvSpPr/>
      </xdr:nvSpPr>
      <xdr:spPr>
        <a:xfrm>
          <a:off x="16086283" y="1118836"/>
          <a:ext cx="2179464" cy="1250177"/>
        </a:xfrm>
        <a:prstGeom prst="rect">
          <a:avLst/>
        </a:prstGeom>
        <a:solidFill>
          <a:srgbClr val="FF4015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INACTIVO</a:t>
          </a:r>
        </a:p>
      </xdr:txBody>
    </xdr:sp>
    <xdr:clientData/>
  </xdr:twoCellAnchor>
  <xdr:twoCellAnchor>
    <xdr:from>
      <xdr:col>9</xdr:col>
      <xdr:colOff>974018</xdr:colOff>
      <xdr:row>84</xdr:row>
      <xdr:rowOff>206876</xdr:rowOff>
    </xdr:from>
    <xdr:to>
      <xdr:col>11</xdr:col>
      <xdr:colOff>422981</xdr:colOff>
      <xdr:row>86</xdr:row>
      <xdr:rowOff>357020</xdr:rowOff>
    </xdr:to>
    <xdr:sp>
      <xdr:nvSpPr>
        <xdr:cNvPr id="79" name="POWERLIFTING"/>
        <xdr:cNvSpPr/>
      </xdr:nvSpPr>
      <xdr:spPr>
        <a:xfrm>
          <a:off x="12975518" y="34276531"/>
          <a:ext cx="1988964" cy="1102645"/>
        </a:xfrm>
        <a:prstGeom prst="rect">
          <a:avLst/>
        </a:prstGeom>
        <a:solidFill>
          <a:schemeClr val="accent6">
            <a:satOff val="-20754"/>
            <a:lumOff val="-16738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POWERLIFTING </a:t>
          </a:r>
        </a:p>
      </xdr:txBody>
    </xdr:sp>
    <xdr:clientData/>
  </xdr:twoCellAnchor>
  <xdr:twoCellAnchor>
    <xdr:from>
      <xdr:col>1</xdr:col>
      <xdr:colOff>1160476</xdr:colOff>
      <xdr:row>85</xdr:row>
      <xdr:rowOff>389826</xdr:rowOff>
    </xdr:from>
    <xdr:to>
      <xdr:col>2</xdr:col>
      <xdr:colOff>444339</xdr:colOff>
      <xdr:row>88</xdr:row>
      <xdr:rowOff>63720</xdr:rowOff>
    </xdr:to>
    <xdr:sp>
      <xdr:nvSpPr>
        <xdr:cNvPr id="80" name="GYM"/>
        <xdr:cNvSpPr/>
      </xdr:nvSpPr>
      <xdr:spPr>
        <a:xfrm>
          <a:off x="1363676" y="34935731"/>
          <a:ext cx="1988964" cy="1102645"/>
        </a:xfrm>
        <a:prstGeom prst="rect">
          <a:avLst/>
        </a:prstGeom>
        <a:solidFill>
          <a:srgbClr val="60D937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GYM</a:t>
          </a:r>
        </a:p>
      </xdr:txBody>
    </xdr:sp>
    <xdr:clientData/>
  </xdr:twoCellAnchor>
  <xdr:twoCellAnchor>
    <xdr:from>
      <xdr:col>2</xdr:col>
      <xdr:colOff>641013</xdr:colOff>
      <xdr:row>85</xdr:row>
      <xdr:rowOff>389826</xdr:rowOff>
    </xdr:from>
    <xdr:to>
      <xdr:col>4</xdr:col>
      <xdr:colOff>140776</xdr:colOff>
      <xdr:row>88</xdr:row>
      <xdr:rowOff>63720</xdr:rowOff>
    </xdr:to>
    <xdr:sp>
      <xdr:nvSpPr>
        <xdr:cNvPr id="81" name="COLD PLUNGE"/>
        <xdr:cNvSpPr/>
      </xdr:nvSpPr>
      <xdr:spPr>
        <a:xfrm>
          <a:off x="3549313" y="34935731"/>
          <a:ext cx="1988964" cy="1102645"/>
        </a:xfrm>
        <a:prstGeom prst="rect">
          <a:avLst/>
        </a:prstGeom>
        <a:solidFill>
          <a:srgbClr val="0000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COLD PLUNGE</a:t>
          </a:r>
        </a:p>
      </xdr:txBody>
    </xdr: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344907</xdr:colOff>
      <xdr:row>81</xdr:row>
      <xdr:rowOff>381545</xdr:rowOff>
    </xdr:from>
    <xdr:to>
      <xdr:col>3</xdr:col>
      <xdr:colOff>889118</xdr:colOff>
      <xdr:row>83</xdr:row>
      <xdr:rowOff>365495</xdr:rowOff>
    </xdr:to>
    <xdr:sp>
      <xdr:nvSpPr>
        <xdr:cNvPr id="83" name="CARLOS/ TAEKWONDO/ KICK BOXING/ DEFENSA PERSONAL"/>
        <xdr:cNvSpPr/>
      </xdr:nvSpPr>
      <xdr:spPr>
        <a:xfrm>
          <a:off x="548107" y="33276450"/>
          <a:ext cx="4493912" cy="940896"/>
        </a:xfrm>
        <a:prstGeom prst="rect">
          <a:avLst/>
        </a:prstGeom>
        <a:solidFill>
          <a:srgbClr val="FF8C82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 CARLOS/ TAEKWONDO/ KICK BOXING/ DEFENSA PERSONAL</a:t>
          </a:r>
        </a:p>
      </xdr:txBody>
    </xdr:sp>
    <xdr:clientData/>
  </xdr:twoCellAnchor>
  <xdr:twoCellAnchor>
    <xdr:from>
      <xdr:col>3</xdr:col>
      <xdr:colOff>1131218</xdr:colOff>
      <xdr:row>82</xdr:row>
      <xdr:rowOff>43361</xdr:rowOff>
    </xdr:from>
    <xdr:to>
      <xdr:col>7</xdr:col>
      <xdr:colOff>97852</xdr:colOff>
      <xdr:row>83</xdr:row>
      <xdr:rowOff>394919</xdr:rowOff>
    </xdr:to>
    <xdr:sp>
      <xdr:nvSpPr>
        <xdr:cNvPr id="84" name="MARCOS / BASQUETBOL"/>
        <xdr:cNvSpPr/>
      </xdr:nvSpPr>
      <xdr:spPr>
        <a:xfrm>
          <a:off x="5284118" y="33418961"/>
          <a:ext cx="4275235" cy="827809"/>
        </a:xfrm>
        <a:prstGeom prst="rect">
          <a:avLst/>
        </a:prstGeom>
        <a:solidFill>
          <a:srgbClr val="70707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MARCOS / BASQUETBOL</a:t>
          </a:r>
        </a:p>
      </xdr:txBody>
    </xdr:sp>
    <xdr:clientData/>
  </xdr:twoCellAnchor>
  <xdr:twoCellAnchor>
    <xdr:from>
      <xdr:col>3</xdr:col>
      <xdr:colOff>993962</xdr:colOff>
      <xdr:row>84</xdr:row>
      <xdr:rowOff>290471</xdr:rowOff>
    </xdr:from>
    <xdr:to>
      <xdr:col>6</xdr:col>
      <xdr:colOff>71981</xdr:colOff>
      <xdr:row>86</xdr:row>
      <xdr:rowOff>395007</xdr:rowOff>
    </xdr:to>
    <xdr:sp>
      <xdr:nvSpPr>
        <xdr:cNvPr id="85" name="TAVO/GENERAL"/>
        <xdr:cNvSpPr/>
      </xdr:nvSpPr>
      <xdr:spPr>
        <a:xfrm>
          <a:off x="5146862" y="34618571"/>
          <a:ext cx="3142020" cy="940832"/>
        </a:xfrm>
        <a:prstGeom prst="rect">
          <a:avLst/>
        </a:prstGeom>
        <a:solidFill>
          <a:schemeClr val="accent4">
            <a:hueOff val="-476017"/>
            <a:lumOff val="-10042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TAVO/GENERAL</a:t>
          </a:r>
        </a:p>
      </xdr:txBody>
    </xdr:sp>
    <xdr:clientData/>
  </xdr:twoCellAnchor>
  <xdr:twoCellAnchor>
    <xdr:from>
      <xdr:col>2</xdr:col>
      <xdr:colOff>4196</xdr:colOff>
      <xdr:row>78</xdr:row>
      <xdr:rowOff>45847</xdr:rowOff>
    </xdr:from>
    <xdr:to>
      <xdr:col>3</xdr:col>
      <xdr:colOff>850159</xdr:colOff>
      <xdr:row>80</xdr:row>
      <xdr:rowOff>287912</xdr:rowOff>
    </xdr:to>
    <xdr:sp>
      <xdr:nvSpPr>
        <xdr:cNvPr id="86" name="No PAGADA"/>
        <xdr:cNvSpPr/>
      </xdr:nvSpPr>
      <xdr:spPr>
        <a:xfrm>
          <a:off x="2912496" y="31522797"/>
          <a:ext cx="2090564" cy="1183771"/>
        </a:xfrm>
        <a:prstGeom prst="rect">
          <a:avLst/>
        </a:prstGeom>
        <a:solidFill>
          <a:srgbClr val="EE719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No PAGADA</a:t>
          </a:r>
        </a:p>
      </xdr:txBody>
    </xdr:sp>
    <xdr:clientData/>
  </xdr:twoCellAnchor>
  <xdr:twoCellAnchor>
    <xdr:from>
      <xdr:col>1</xdr:col>
      <xdr:colOff>349333</xdr:colOff>
      <xdr:row>77</xdr:row>
      <xdr:rowOff>307062</xdr:rowOff>
    </xdr:from>
    <xdr:to>
      <xdr:col>1</xdr:col>
      <xdr:colOff>2318726</xdr:colOff>
      <xdr:row>81</xdr:row>
      <xdr:rowOff>26692</xdr:rowOff>
    </xdr:to>
    <xdr:sp>
      <xdr:nvSpPr>
        <xdr:cNvPr id="87" name="PAGADA"/>
        <xdr:cNvSpPr/>
      </xdr:nvSpPr>
      <xdr:spPr>
        <a:xfrm>
          <a:off x="552533" y="31307762"/>
          <a:ext cx="1969394" cy="1613836"/>
        </a:xfrm>
        <a:prstGeom prst="rect">
          <a:avLst/>
        </a:prstGeom>
        <a:solidFill>
          <a:srgbClr val="FEFB4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PAGADA</a:t>
          </a:r>
        </a:p>
      </xdr:txBody>
    </xdr:sp>
    <xdr:clientData/>
  </xdr:twoCellAnchor>
  <xdr:twoCellAnchor>
    <xdr:from>
      <xdr:col>5</xdr:col>
      <xdr:colOff>1555816</xdr:colOff>
      <xdr:row>78</xdr:row>
      <xdr:rowOff>286655</xdr:rowOff>
    </xdr:from>
    <xdr:to>
      <xdr:col>8</xdr:col>
      <xdr:colOff>890479</xdr:colOff>
      <xdr:row>80</xdr:row>
      <xdr:rowOff>47103</xdr:rowOff>
    </xdr:to>
    <xdr:sp>
      <xdr:nvSpPr>
        <xdr:cNvPr id="88" name="OPEN GYM"/>
        <xdr:cNvSpPr/>
      </xdr:nvSpPr>
      <xdr:spPr>
        <a:xfrm>
          <a:off x="8197916" y="31763605"/>
          <a:ext cx="3424064" cy="702154"/>
        </a:xfrm>
        <a:prstGeom prst="rect">
          <a:avLst/>
        </a:prstGeom>
        <a:solidFill>
          <a:srgbClr val="D35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OPEN GYM</a:t>
          </a:r>
        </a:p>
      </xdr:txBody>
    </xdr:sp>
    <xdr:clientData/>
  </xdr:twoCellAnchor>
  <xdr:twoCellAnchor>
    <xdr:from>
      <xdr:col>6</xdr:col>
      <xdr:colOff>266583</xdr:colOff>
      <xdr:row>84</xdr:row>
      <xdr:rowOff>254131</xdr:rowOff>
    </xdr:from>
    <xdr:to>
      <xdr:col>7</xdr:col>
      <xdr:colOff>1061746</xdr:colOff>
      <xdr:row>87</xdr:row>
      <xdr:rowOff>66133</xdr:rowOff>
    </xdr:to>
    <xdr:sp>
      <xdr:nvSpPr>
        <xdr:cNvPr id="89" name="WELLHUB"/>
        <xdr:cNvSpPr/>
      </xdr:nvSpPr>
      <xdr:spPr>
        <a:xfrm>
          <a:off x="8483483" y="34582231"/>
          <a:ext cx="2039764" cy="1124548"/>
        </a:xfrm>
        <a:prstGeom prst="rect">
          <a:avLst/>
        </a:prstGeom>
        <a:solidFill>
          <a:schemeClr val="accent1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WELLHUB</a:t>
          </a:r>
        </a:p>
      </xdr:txBody>
    </xdr:sp>
    <xdr:clientData/>
  </xdr:twoCellAnchor>
  <xdr:twoCellAnchor>
    <xdr:from>
      <xdr:col>7</xdr:col>
      <xdr:colOff>706138</xdr:colOff>
      <xdr:row>82</xdr:row>
      <xdr:rowOff>31654</xdr:rowOff>
    </xdr:from>
    <xdr:to>
      <xdr:col>9</xdr:col>
      <xdr:colOff>155101</xdr:colOff>
      <xdr:row>84</xdr:row>
      <xdr:rowOff>181798</xdr:rowOff>
    </xdr:to>
    <xdr:sp>
      <xdr:nvSpPr>
        <xdr:cNvPr id="90" name="SAUNA"/>
        <xdr:cNvSpPr/>
      </xdr:nvSpPr>
      <xdr:spPr>
        <a:xfrm>
          <a:off x="10167638" y="33407254"/>
          <a:ext cx="1988964" cy="1102645"/>
        </a:xfrm>
        <a:prstGeom prst="rect">
          <a:avLst/>
        </a:prstGeom>
        <a:solidFill>
          <a:schemeClr val="accent2">
            <a:hueOff val="-85258"/>
            <a:satOff val="14347"/>
            <a:lumOff val="22373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SAUNA</a:t>
          </a:r>
        </a:p>
      </xdr:txBody>
    </xdr:sp>
    <xdr:clientData/>
  </xdr:twoCellAnchor>
  <xdr:twoCellAnchor>
    <xdr:from>
      <xdr:col>3</xdr:col>
      <xdr:colOff>1240730</xdr:colOff>
      <xdr:row>77</xdr:row>
      <xdr:rowOff>460397</xdr:rowOff>
    </xdr:from>
    <xdr:to>
      <xdr:col>5</xdr:col>
      <xdr:colOff>930993</xdr:colOff>
      <xdr:row>80</xdr:row>
      <xdr:rowOff>349607</xdr:rowOff>
    </xdr:to>
    <xdr:sp>
      <xdr:nvSpPr>
        <xdr:cNvPr id="91" name="DEMO"/>
        <xdr:cNvSpPr/>
      </xdr:nvSpPr>
      <xdr:spPr>
        <a:xfrm>
          <a:off x="5393630" y="31461097"/>
          <a:ext cx="2179464" cy="1307166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DEMO</a:t>
          </a:r>
        </a:p>
      </xdr:txBody>
    </xdr:sp>
    <xdr:clientData/>
  </xdr:twoCellAnchor>
  <xdr:twoCellAnchor>
    <xdr:from>
      <xdr:col>1</xdr:col>
      <xdr:colOff>2087576</xdr:colOff>
      <xdr:row>0</xdr:row>
      <xdr:rowOff>1152039</xdr:rowOff>
    </xdr:from>
    <xdr:to>
      <xdr:col>3</xdr:col>
      <xdr:colOff>228439</xdr:colOff>
      <xdr:row>0</xdr:row>
      <xdr:rowOff>2335810</xdr:rowOff>
    </xdr:to>
    <xdr:sp>
      <xdr:nvSpPr>
        <xdr:cNvPr id="92" name="EFECTIVO"/>
        <xdr:cNvSpPr/>
      </xdr:nvSpPr>
      <xdr:spPr>
        <a:xfrm>
          <a:off x="2290776" y="1152039"/>
          <a:ext cx="2090564" cy="1183771"/>
        </a:xfrm>
        <a:prstGeom prst="rect">
          <a:avLst/>
        </a:prstGeom>
        <a:solidFill>
          <a:srgbClr val="96D35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EFECTIVO</a:t>
          </a:r>
        </a:p>
      </xdr:txBody>
    </xdr:sp>
    <xdr:clientData/>
  </xdr:twoCellAnchor>
  <xdr:twoCellAnchor>
    <xdr:from>
      <xdr:col>3</xdr:col>
      <xdr:colOff>683012</xdr:colOff>
      <xdr:row>0</xdr:row>
      <xdr:rowOff>1157561</xdr:rowOff>
    </xdr:from>
    <xdr:to>
      <xdr:col>6</xdr:col>
      <xdr:colOff>43075</xdr:colOff>
      <xdr:row>0</xdr:row>
      <xdr:rowOff>2330288</xdr:rowOff>
    </xdr:to>
    <xdr:sp>
      <xdr:nvSpPr>
        <xdr:cNvPr id="93" name="CHECK IN"/>
        <xdr:cNvSpPr/>
      </xdr:nvSpPr>
      <xdr:spPr>
        <a:xfrm>
          <a:off x="4835912" y="1157561"/>
          <a:ext cx="3424064" cy="1172728"/>
        </a:xfrm>
        <a:prstGeom prst="rect">
          <a:avLst/>
        </a:prstGeom>
        <a:solidFill>
          <a:srgbClr val="3A87FE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CHECK IN</a:t>
          </a:r>
        </a:p>
      </xdr:txBody>
    </xdr:sp>
    <xdr:clientData/>
  </xdr:twoCellAnchor>
  <xdr:twoCellAnchor>
    <xdr:from>
      <xdr:col>6</xdr:col>
      <xdr:colOff>202694</xdr:colOff>
      <xdr:row>0</xdr:row>
      <xdr:rowOff>1118837</xdr:rowOff>
    </xdr:from>
    <xdr:to>
      <xdr:col>7</xdr:col>
      <xdr:colOff>1137557</xdr:colOff>
      <xdr:row>0</xdr:row>
      <xdr:rowOff>2369013</xdr:rowOff>
    </xdr:to>
    <xdr:sp>
      <xdr:nvSpPr>
        <xdr:cNvPr id="94" name="TARJETA CREDITO"/>
        <xdr:cNvSpPr/>
      </xdr:nvSpPr>
      <xdr:spPr>
        <a:xfrm>
          <a:off x="8419594" y="1118836"/>
          <a:ext cx="2179464" cy="1250177"/>
        </a:xfrm>
        <a:prstGeom prst="rect">
          <a:avLst/>
        </a:prstGeom>
        <a:solidFill>
          <a:srgbClr val="BE38F3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CREDITO</a:t>
          </a:r>
        </a:p>
      </xdr:txBody>
    </xdr:sp>
    <xdr:clientData/>
  </xdr:twoCellAnchor>
  <xdr:twoCellAnchor>
    <xdr:from>
      <xdr:col>8</xdr:col>
      <xdr:colOff>243657</xdr:colOff>
      <xdr:row>0</xdr:row>
      <xdr:rowOff>1118837</xdr:rowOff>
    </xdr:from>
    <xdr:to>
      <xdr:col>9</xdr:col>
      <xdr:colOff>1153120</xdr:colOff>
      <xdr:row>0</xdr:row>
      <xdr:rowOff>2369013</xdr:rowOff>
    </xdr:to>
    <xdr:sp>
      <xdr:nvSpPr>
        <xdr:cNvPr id="95" name="TARJETA DEBITO"/>
        <xdr:cNvSpPr/>
      </xdr:nvSpPr>
      <xdr:spPr>
        <a:xfrm>
          <a:off x="10975157" y="1118836"/>
          <a:ext cx="2179464" cy="1250177"/>
        </a:xfrm>
        <a:prstGeom prst="rect">
          <a:avLst/>
        </a:prstGeom>
        <a:solidFill>
          <a:srgbClr val="EFCA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TARJETA DEBITO</a:t>
          </a:r>
        </a:p>
      </xdr:txBody>
    </xdr:sp>
    <xdr:clientData/>
  </xdr:twoCellAnchor>
  <xdr:twoCellAnchor>
    <xdr:from>
      <xdr:col>10</xdr:col>
      <xdr:colOff>259219</xdr:colOff>
      <xdr:row>0</xdr:row>
      <xdr:rowOff>1118837</xdr:rowOff>
    </xdr:from>
    <xdr:to>
      <xdr:col>11</xdr:col>
      <xdr:colOff>1168682</xdr:colOff>
      <xdr:row>0</xdr:row>
      <xdr:rowOff>2369013</xdr:rowOff>
    </xdr:to>
    <xdr:sp>
      <xdr:nvSpPr>
        <xdr:cNvPr id="96" name="TRANSFERENCIA"/>
        <xdr:cNvSpPr/>
      </xdr:nvSpPr>
      <xdr:spPr>
        <a:xfrm>
          <a:off x="13530719" y="1118836"/>
          <a:ext cx="2179464" cy="1250177"/>
        </a:xfrm>
        <a:prstGeom prst="rect">
          <a:avLst/>
        </a:prstGeom>
        <a:solidFill>
          <a:srgbClr val="F5EC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TRANSFERENCIA</a:t>
          </a:r>
        </a:p>
      </xdr:txBody>
    </xdr:sp>
    <xdr:clientData/>
  </xdr:twoCellAnchor>
  <xdr:twoCellAnchor>
    <xdr:from>
      <xdr:col>12</xdr:col>
      <xdr:colOff>274783</xdr:colOff>
      <xdr:row>0</xdr:row>
      <xdr:rowOff>1118837</xdr:rowOff>
    </xdr:from>
    <xdr:to>
      <xdr:col>13</xdr:col>
      <xdr:colOff>1184246</xdr:colOff>
      <xdr:row>0</xdr:row>
      <xdr:rowOff>2369013</xdr:rowOff>
    </xdr:to>
    <xdr:sp>
      <xdr:nvSpPr>
        <xdr:cNvPr id="97" name="INACTIVO"/>
        <xdr:cNvSpPr/>
      </xdr:nvSpPr>
      <xdr:spPr>
        <a:xfrm>
          <a:off x="16086283" y="1118836"/>
          <a:ext cx="2179464" cy="1250177"/>
        </a:xfrm>
        <a:prstGeom prst="rect">
          <a:avLst/>
        </a:prstGeom>
        <a:solidFill>
          <a:srgbClr val="FF4015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INACTIVO</a:t>
          </a:r>
        </a:p>
      </xdr:txBody>
    </xdr:sp>
    <xdr:clientData/>
  </xdr:twoCellAnchor>
  <xdr:twoCellAnchor>
    <xdr:from>
      <xdr:col>8</xdr:col>
      <xdr:colOff>338907</xdr:colOff>
      <xdr:row>84</xdr:row>
      <xdr:rowOff>209562</xdr:rowOff>
    </xdr:from>
    <xdr:to>
      <xdr:col>9</xdr:col>
      <xdr:colOff>1057870</xdr:colOff>
      <xdr:row>86</xdr:row>
      <xdr:rowOff>475912</xdr:rowOff>
    </xdr:to>
    <xdr:sp>
      <xdr:nvSpPr>
        <xdr:cNvPr id="98" name="POWERLIFTING"/>
        <xdr:cNvSpPr/>
      </xdr:nvSpPr>
      <xdr:spPr>
        <a:xfrm>
          <a:off x="11070407" y="34537662"/>
          <a:ext cx="1988964" cy="1102646"/>
        </a:xfrm>
        <a:prstGeom prst="rect">
          <a:avLst/>
        </a:prstGeom>
        <a:solidFill>
          <a:schemeClr val="accent6">
            <a:satOff val="-20754"/>
            <a:lumOff val="-16738"/>
          </a:schemeClr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POWERLIFTING </a:t>
          </a:r>
        </a:p>
      </xdr:txBody>
    </xdr:sp>
    <xdr:clientData/>
  </xdr:twoCellAnchor>
  <xdr:twoCellAnchor>
    <xdr:from>
      <xdr:col>1</xdr:col>
      <xdr:colOff>339548</xdr:colOff>
      <xdr:row>84</xdr:row>
      <xdr:rowOff>265078</xdr:rowOff>
    </xdr:from>
    <xdr:to>
      <xdr:col>1</xdr:col>
      <xdr:colOff>2328511</xdr:colOff>
      <xdr:row>87</xdr:row>
      <xdr:rowOff>55178</xdr:rowOff>
    </xdr:to>
    <xdr:sp>
      <xdr:nvSpPr>
        <xdr:cNvPr id="99" name="GYM"/>
        <xdr:cNvSpPr/>
      </xdr:nvSpPr>
      <xdr:spPr>
        <a:xfrm>
          <a:off x="542748" y="34593178"/>
          <a:ext cx="1988964" cy="1102646"/>
        </a:xfrm>
        <a:prstGeom prst="rect">
          <a:avLst/>
        </a:prstGeom>
        <a:solidFill>
          <a:srgbClr val="60D937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GYM</a:t>
          </a:r>
        </a:p>
      </xdr:txBody>
    </xdr:sp>
    <xdr:clientData/>
  </xdr:twoCellAnchor>
  <xdr:twoCellAnchor>
    <xdr:from>
      <xdr:col>2</xdr:col>
      <xdr:colOff>54996</xdr:colOff>
      <xdr:row>84</xdr:row>
      <xdr:rowOff>265078</xdr:rowOff>
    </xdr:from>
    <xdr:to>
      <xdr:col>3</xdr:col>
      <xdr:colOff>799359</xdr:colOff>
      <xdr:row>87</xdr:row>
      <xdr:rowOff>55178</xdr:rowOff>
    </xdr:to>
    <xdr:sp>
      <xdr:nvSpPr>
        <xdr:cNvPr id="100" name="COLD PLUNGE"/>
        <xdr:cNvSpPr/>
      </xdr:nvSpPr>
      <xdr:spPr>
        <a:xfrm>
          <a:off x="2963296" y="34593178"/>
          <a:ext cx="1988964" cy="1102646"/>
        </a:xfrm>
        <a:prstGeom prst="rect">
          <a:avLst/>
        </a:prstGeom>
        <a:solidFill>
          <a:srgbClr val="000000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COLD PLUNGE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DB34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0" style="1" customWidth="1"/>
    <col min="2" max="7" width="16.3516" style="1" customWidth="1"/>
    <col min="8" max="8" width="15.8594" style="1" customWidth="1"/>
    <col min="9" max="13" width="16.625" style="1" customWidth="1"/>
    <col min="14" max="14" width="30.3672" style="34" customWidth="1"/>
    <col min="15" max="22" width="16.3516" style="34" customWidth="1"/>
    <col min="23" max="23" width="24.8125" style="41" customWidth="1"/>
    <col min="24" max="32" width="17.6719" style="41" customWidth="1"/>
    <col min="33" max="33" width="28.1172" style="45" customWidth="1"/>
    <col min="34" max="41" width="19.4375" style="45" customWidth="1"/>
    <col min="42" max="42" width="28.6953" style="50" customWidth="1"/>
    <col min="43" max="50" width="19.0703" style="50" customWidth="1"/>
    <col min="51" max="51" width="24.8125" style="60" customWidth="1"/>
    <col min="52" max="60" width="17.6719" style="60" customWidth="1"/>
    <col min="61" max="61" width="27.4297" style="70" customWidth="1"/>
    <col min="62" max="69" width="19.5078" style="70" customWidth="1"/>
    <col min="70" max="70" width="24.8125" style="75" customWidth="1"/>
    <col min="71" max="79" width="17.6719" style="75" customWidth="1"/>
    <col min="80" max="80" width="29.8516" style="81" customWidth="1"/>
    <col min="81" max="88" width="19.5938" style="81" customWidth="1"/>
    <col min="89" max="89" width="24.8125" style="83" customWidth="1"/>
    <col min="90" max="98" width="17.6719" style="83" customWidth="1"/>
    <col min="99" max="99" width="31.0078" style="86" customWidth="1"/>
    <col min="100" max="106" width="22.0469" style="86" customWidth="1"/>
    <col min="107" max="16384" width="16.3516" style="86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s="4"/>
      <c r="C2" t="s" s="3">
        <v>2</v>
      </c>
      <c r="D2" t="s" s="3">
        <v>3</v>
      </c>
      <c r="E2" t="s" s="3">
        <v>4</v>
      </c>
      <c r="F2" s="5">
        <v>45901</v>
      </c>
      <c r="G2" s="5">
        <v>45931</v>
      </c>
      <c r="H2" s="5">
        <v>45962</v>
      </c>
      <c r="I2" t="s" s="3">
        <v>5</v>
      </c>
      <c r="J2" t="s" s="3">
        <v>6</v>
      </c>
      <c r="K2" t="s" s="3">
        <v>7</v>
      </c>
      <c r="L2" t="s" s="3">
        <v>8</v>
      </c>
      <c r="M2" t="s" s="3">
        <v>9</v>
      </c>
    </row>
    <row r="3" ht="25.55" customHeight="1">
      <c r="A3" t="s" s="6">
        <v>10</v>
      </c>
      <c r="B3" s="7">
        <v>1</v>
      </c>
      <c r="C3" s="8">
        <v>720</v>
      </c>
      <c r="D3" s="8">
        <v>945</v>
      </c>
      <c r="E3" t="s" s="9">
        <v>11</v>
      </c>
      <c r="F3" s="10">
        <v>945</v>
      </c>
      <c r="G3" s="10">
        <v>945</v>
      </c>
      <c r="H3" s="10">
        <v>945</v>
      </c>
      <c r="I3" t="s" s="9">
        <v>12</v>
      </c>
      <c r="J3" t="s" s="9">
        <v>13</v>
      </c>
      <c r="K3" t="s" s="9">
        <v>12</v>
      </c>
      <c r="L3" t="s" s="9">
        <v>14</v>
      </c>
      <c r="M3" t="s" s="9">
        <v>15</v>
      </c>
    </row>
    <row r="4" ht="25.35" customHeight="1">
      <c r="A4" t="s" s="11">
        <v>16</v>
      </c>
      <c r="B4" s="12">
        <v>2</v>
      </c>
      <c r="C4" s="13">
        <v>0</v>
      </c>
      <c r="D4" s="13">
        <v>945</v>
      </c>
      <c r="E4" t="s" s="14">
        <v>11</v>
      </c>
      <c r="F4" s="15">
        <v>945</v>
      </c>
      <c r="G4" s="15">
        <v>945</v>
      </c>
      <c r="H4" s="15">
        <v>945</v>
      </c>
      <c r="I4" t="s" s="14">
        <v>12</v>
      </c>
      <c r="J4" t="s" s="14">
        <v>13</v>
      </c>
      <c r="K4" t="s" s="14">
        <v>12</v>
      </c>
      <c r="L4" t="s" s="14">
        <v>14</v>
      </c>
      <c r="M4" t="s" s="14">
        <v>15</v>
      </c>
    </row>
    <row r="5" ht="25.35" customHeight="1">
      <c r="A5" t="s" s="11">
        <v>17</v>
      </c>
      <c r="B5" s="12">
        <v>3</v>
      </c>
      <c r="C5" s="13">
        <v>720</v>
      </c>
      <c r="D5" s="13">
        <v>945</v>
      </c>
      <c r="E5" t="s" s="14">
        <v>11</v>
      </c>
      <c r="F5" s="15">
        <v>945</v>
      </c>
      <c r="G5" s="15">
        <v>945</v>
      </c>
      <c r="H5" s="15">
        <v>945</v>
      </c>
      <c r="I5" t="s" s="14">
        <v>12</v>
      </c>
      <c r="J5" t="s" s="14">
        <v>13</v>
      </c>
      <c r="K5" t="s" s="14">
        <v>12</v>
      </c>
      <c r="L5" t="s" s="14">
        <v>14</v>
      </c>
      <c r="M5" t="s" s="14">
        <v>15</v>
      </c>
    </row>
    <row r="6" ht="25.35" customHeight="1">
      <c r="A6" t="s" s="11">
        <v>18</v>
      </c>
      <c r="B6" s="12">
        <v>3</v>
      </c>
      <c r="C6" s="13">
        <v>720</v>
      </c>
      <c r="D6" s="13">
        <v>945</v>
      </c>
      <c r="E6" t="s" s="14">
        <v>11</v>
      </c>
      <c r="F6" s="15">
        <v>945</v>
      </c>
      <c r="G6" s="15">
        <v>945</v>
      </c>
      <c r="H6" s="15">
        <v>945</v>
      </c>
      <c r="I6" t="s" s="14">
        <v>12</v>
      </c>
      <c r="J6" t="s" s="14">
        <v>13</v>
      </c>
      <c r="K6" t="s" s="14">
        <v>12</v>
      </c>
      <c r="L6" t="s" s="14">
        <v>14</v>
      </c>
      <c r="M6" t="s" s="14">
        <v>15</v>
      </c>
    </row>
    <row r="7" ht="25.35" customHeight="1">
      <c r="A7" t="s" s="11">
        <v>19</v>
      </c>
      <c r="B7" s="12">
        <v>5</v>
      </c>
      <c r="C7" s="13">
        <v>500</v>
      </c>
      <c r="D7" s="13">
        <v>995</v>
      </c>
      <c r="E7" t="s" s="14">
        <v>11</v>
      </c>
      <c r="F7" s="15">
        <v>995</v>
      </c>
      <c r="G7" s="15">
        <v>995</v>
      </c>
      <c r="H7" s="16">
        <v>0</v>
      </c>
      <c r="I7" t="s" s="14">
        <v>12</v>
      </c>
      <c r="J7" t="s" s="14">
        <v>13</v>
      </c>
      <c r="K7" t="s" s="14">
        <v>12</v>
      </c>
      <c r="L7" t="s" s="14">
        <v>14</v>
      </c>
      <c r="M7" t="s" s="14">
        <v>15</v>
      </c>
    </row>
    <row r="8" ht="25.35" customHeight="1">
      <c r="A8" t="s" s="11">
        <v>20</v>
      </c>
      <c r="B8" s="12">
        <v>11</v>
      </c>
      <c r="C8" s="13">
        <v>500</v>
      </c>
      <c r="D8" s="13">
        <v>945</v>
      </c>
      <c r="E8" t="s" s="14">
        <v>11</v>
      </c>
      <c r="F8" s="15">
        <v>945</v>
      </c>
      <c r="G8" s="15">
        <v>945</v>
      </c>
      <c r="H8" s="15">
        <v>945</v>
      </c>
      <c r="I8" t="s" s="14">
        <v>12</v>
      </c>
      <c r="J8" t="s" s="14">
        <v>13</v>
      </c>
      <c r="K8" t="s" s="14">
        <v>12</v>
      </c>
      <c r="L8" t="s" s="14">
        <v>14</v>
      </c>
      <c r="M8" t="s" s="14">
        <v>15</v>
      </c>
    </row>
    <row r="9" ht="25.35" customHeight="1">
      <c r="A9" t="s" s="11">
        <v>21</v>
      </c>
      <c r="B9" s="12">
        <v>13</v>
      </c>
      <c r="C9" s="13">
        <v>720</v>
      </c>
      <c r="D9" s="13">
        <v>945</v>
      </c>
      <c r="E9" t="s" s="14">
        <v>11</v>
      </c>
      <c r="F9" s="15">
        <v>945</v>
      </c>
      <c r="G9" s="15">
        <v>945</v>
      </c>
      <c r="H9" s="15">
        <v>945</v>
      </c>
      <c r="I9" t="s" s="14">
        <v>12</v>
      </c>
      <c r="J9" t="s" s="14">
        <v>13</v>
      </c>
      <c r="K9" t="s" s="14">
        <v>12</v>
      </c>
      <c r="L9" t="s" s="14">
        <v>14</v>
      </c>
      <c r="M9" t="s" s="14">
        <v>15</v>
      </c>
    </row>
    <row r="10" ht="25.35" customHeight="1">
      <c r="A10" t="s" s="11">
        <v>22</v>
      </c>
      <c r="B10" s="12">
        <v>20</v>
      </c>
      <c r="C10" s="13">
        <v>90</v>
      </c>
      <c r="D10" s="13">
        <v>945</v>
      </c>
      <c r="E10" t="s" s="14">
        <v>23</v>
      </c>
      <c r="F10" s="15">
        <v>945</v>
      </c>
      <c r="G10" s="16">
        <v>0</v>
      </c>
      <c r="H10" s="16">
        <v>0</v>
      </c>
      <c r="I10" t="s" s="14">
        <v>12</v>
      </c>
      <c r="J10" t="s" s="14">
        <v>13</v>
      </c>
      <c r="K10" t="s" s="14">
        <v>12</v>
      </c>
      <c r="L10" t="s" s="14">
        <v>14</v>
      </c>
      <c r="M10" t="s" s="14">
        <v>15</v>
      </c>
    </row>
    <row r="11" ht="25.35" customHeight="1">
      <c r="A11" t="s" s="11">
        <v>24</v>
      </c>
      <c r="B11" s="12">
        <v>18</v>
      </c>
      <c r="C11" s="13">
        <v>500</v>
      </c>
      <c r="D11" t="s" s="14">
        <v>25</v>
      </c>
      <c r="E11" t="s" s="14">
        <v>26</v>
      </c>
      <c r="F11" s="13">
        <v>0</v>
      </c>
      <c r="G11" s="13">
        <v>630</v>
      </c>
      <c r="H11" s="13"/>
      <c r="I11" t="s" s="14">
        <v>13</v>
      </c>
      <c r="J11" t="s" s="14">
        <v>13</v>
      </c>
      <c r="K11" t="s" s="14">
        <v>13</v>
      </c>
      <c r="L11" t="s" s="14">
        <v>15</v>
      </c>
      <c r="M11" t="s" s="14">
        <v>15</v>
      </c>
    </row>
    <row r="12" ht="25.35" customHeight="1">
      <c r="A12" t="s" s="11">
        <v>27</v>
      </c>
      <c r="B12" s="12">
        <v>24</v>
      </c>
      <c r="C12" s="13">
        <v>500</v>
      </c>
      <c r="D12" s="13">
        <v>995</v>
      </c>
      <c r="E12" t="s" s="14">
        <v>11</v>
      </c>
      <c r="F12" s="15">
        <v>995</v>
      </c>
      <c r="G12" s="15">
        <v>995</v>
      </c>
      <c r="H12" s="15">
        <v>995</v>
      </c>
      <c r="I12" t="s" s="14">
        <v>12</v>
      </c>
      <c r="J12" t="s" s="14">
        <v>13</v>
      </c>
      <c r="K12" t="s" s="14">
        <v>12</v>
      </c>
      <c r="L12" t="s" s="14">
        <v>14</v>
      </c>
      <c r="M12" t="s" s="14">
        <v>15</v>
      </c>
    </row>
    <row r="13" ht="25.35" customHeight="1">
      <c r="A13" t="s" s="11">
        <v>28</v>
      </c>
      <c r="B13" s="12">
        <v>30</v>
      </c>
      <c r="C13" s="13">
        <v>500</v>
      </c>
      <c r="D13" t="s" s="14">
        <v>25</v>
      </c>
      <c r="E13" t="s" s="14">
        <v>26</v>
      </c>
      <c r="F13" s="13">
        <v>0</v>
      </c>
      <c r="G13" s="13">
        <v>630</v>
      </c>
      <c r="H13" s="16">
        <v>0</v>
      </c>
      <c r="I13" t="s" s="14">
        <v>13</v>
      </c>
      <c r="J13" t="s" s="14">
        <v>13</v>
      </c>
      <c r="K13" t="s" s="14">
        <v>13</v>
      </c>
      <c r="L13" t="s" s="14">
        <v>15</v>
      </c>
      <c r="M13" t="s" s="14">
        <v>15</v>
      </c>
    </row>
    <row r="14" ht="20.05" customHeight="1">
      <c r="A14" s="17"/>
      <c r="B14" s="18"/>
      <c r="C14" s="19"/>
      <c r="D14" s="19"/>
      <c r="E14" s="19"/>
      <c r="F14" s="19"/>
      <c r="G14" s="19"/>
      <c r="H14" s="13"/>
      <c r="I14" s="13"/>
      <c r="J14" s="13"/>
      <c r="K14" s="13"/>
      <c r="L14" s="13"/>
      <c r="M14" s="14"/>
    </row>
    <row r="15" ht="20.05" customHeight="1">
      <c r="A15" s="17"/>
      <c r="B15" s="20"/>
      <c r="C15" s="19"/>
      <c r="D15" s="19"/>
      <c r="E15" s="19"/>
      <c r="F15" s="19"/>
      <c r="G15" s="19"/>
      <c r="H15" s="13"/>
      <c r="I15" s="13"/>
      <c r="J15" s="13"/>
      <c r="K15" s="13"/>
      <c r="L15" s="13"/>
      <c r="M15" s="14"/>
    </row>
    <row r="16" ht="20.05" customHeight="1">
      <c r="A16" s="17"/>
      <c r="B16" s="20"/>
      <c r="C16" s="19"/>
      <c r="D16" s="19"/>
      <c r="E16" s="19"/>
      <c r="F16" s="19"/>
      <c r="G16" s="19"/>
      <c r="H16" s="13"/>
      <c r="I16" s="13"/>
      <c r="J16" s="13"/>
      <c r="K16" s="13"/>
      <c r="L16" s="13"/>
      <c r="M16" s="14"/>
    </row>
    <row r="17" ht="20.05" customHeight="1">
      <c r="A17" s="17"/>
      <c r="B17" s="20"/>
      <c r="C17" s="19"/>
      <c r="D17" s="19"/>
      <c r="E17" s="19"/>
      <c r="F17" s="19"/>
      <c r="G17" s="19"/>
      <c r="H17" s="13"/>
      <c r="I17" s="13"/>
      <c r="J17" s="13"/>
      <c r="K17" s="13"/>
      <c r="L17" s="13"/>
      <c r="M17" s="14"/>
    </row>
    <row r="18" ht="20.05" customHeight="1">
      <c r="A18" s="17"/>
      <c r="B18" s="20"/>
      <c r="C18" s="19"/>
      <c r="D18" s="19"/>
      <c r="E18" s="19"/>
      <c r="F18" s="19"/>
      <c r="G18" s="19"/>
      <c r="H18" s="13"/>
      <c r="I18" s="13"/>
      <c r="J18" s="13"/>
      <c r="K18" s="13"/>
      <c r="L18" s="13"/>
      <c r="M18" s="14"/>
    </row>
    <row r="19" ht="20.05" customHeight="1">
      <c r="A19" s="17"/>
      <c r="B19" s="20"/>
      <c r="C19" s="19"/>
      <c r="D19" s="19"/>
      <c r="E19" s="19"/>
      <c r="F19" s="19"/>
      <c r="G19" s="19"/>
      <c r="H19" s="13"/>
      <c r="I19" s="13"/>
      <c r="J19" s="13"/>
      <c r="K19" s="13"/>
      <c r="L19" s="13"/>
      <c r="M19" s="14"/>
    </row>
    <row r="20" ht="20.05" customHeight="1">
      <c r="A20" s="17"/>
      <c r="B20" s="20"/>
      <c r="C20" s="19"/>
      <c r="D20" s="19"/>
      <c r="E20" s="19"/>
      <c r="F20" s="19"/>
      <c r="G20" s="19"/>
      <c r="H20" s="13"/>
      <c r="I20" s="13"/>
      <c r="J20" s="13"/>
      <c r="K20" s="13"/>
      <c r="L20" s="13"/>
      <c r="M20" s="14"/>
    </row>
    <row r="21" ht="20.05" customHeight="1">
      <c r="A21" s="17"/>
      <c r="B21" s="20"/>
      <c r="C21" s="19"/>
      <c r="D21" s="19"/>
      <c r="E21" s="19"/>
      <c r="F21" s="19"/>
      <c r="G21" s="19"/>
      <c r="H21" s="13"/>
      <c r="I21" s="13"/>
      <c r="J21" s="13"/>
      <c r="K21" s="13"/>
      <c r="L21" s="13"/>
      <c r="M21" s="14"/>
    </row>
    <row r="22" ht="25.35" customHeight="1">
      <c r="A22" t="s" s="21">
        <v>29</v>
      </c>
      <c r="B22" s="12">
        <v>27</v>
      </c>
      <c r="C22" s="13">
        <v>150</v>
      </c>
      <c r="D22" s="13">
        <v>950</v>
      </c>
      <c r="E22" t="s" s="14">
        <v>11</v>
      </c>
      <c r="F22" s="15">
        <v>950</v>
      </c>
      <c r="G22" s="16">
        <v>0</v>
      </c>
      <c r="H22" s="16">
        <v>0</v>
      </c>
      <c r="I22" t="s" s="14">
        <v>13</v>
      </c>
      <c r="J22" t="s" s="14">
        <v>13</v>
      </c>
      <c r="K22" t="s" s="14">
        <v>13</v>
      </c>
      <c r="L22" s="13"/>
      <c r="M22" s="14"/>
    </row>
    <row r="23" ht="20.05" customHeight="1">
      <c r="A23" t="s" s="11">
        <v>30</v>
      </c>
      <c r="B23" s="20"/>
      <c r="C23" s="22" cm="1">
        <f t="array" ref="C23">SUM(C3:C22)</f>
        <v>5620</v>
      </c>
      <c r="D23" s="19"/>
      <c r="E23" s="19"/>
      <c r="F23" s="22" cm="1">
        <f t="array" ref="F23">F3+F4+F5+F6+F7+F8+F9+F10+F12+F22+F25+C23</f>
        <v>15475</v>
      </c>
      <c r="G23" s="22" cm="1">
        <f t="array" ref="G23">G3+G4+G9+G5+G6+G7+G8+G10+G12+G22+G11+G13+G28+G25+G26+G30+G31+G32</f>
        <v>10460.92</v>
      </c>
      <c r="H23" s="22" cm="1">
        <f t="array" ref="H23">H3+H4+H9+H5+H6+H7+H8+H10+H12+H22+H11+H13+H28+H25+H26+H30+H31+H32+H37+H35+H34+H38+C37+C38+H39+H40+H41+C39+C40+C41+H36+C36+H33</f>
        <v>12395.02</v>
      </c>
      <c r="I23" s="13"/>
      <c r="J23" s="13"/>
      <c r="K23" s="13"/>
      <c r="L23" s="13"/>
      <c r="M23" s="14"/>
    </row>
    <row r="24" ht="20.05" customHeight="1">
      <c r="A24" t="s" s="11">
        <v>31</v>
      </c>
      <c r="B24" s="20"/>
      <c r="C24" s="19"/>
      <c r="D24" s="23"/>
      <c r="E24" s="19"/>
      <c r="F24" s="19"/>
      <c r="G24" s="19"/>
      <c r="H24" s="13"/>
      <c r="I24" s="13"/>
      <c r="J24" s="13"/>
      <c r="K24" s="13"/>
      <c r="L24" s="13"/>
      <c r="M24" s="14"/>
    </row>
    <row r="25" ht="20.05" customHeight="1">
      <c r="A25" t="s" s="11">
        <v>32</v>
      </c>
      <c r="B25" s="20"/>
      <c r="C25" t="s" s="14">
        <v>33</v>
      </c>
      <c r="D25" s="13">
        <v>75</v>
      </c>
      <c r="E25" s="24">
        <v>4</v>
      </c>
      <c r="F25" s="22">
        <v>300</v>
      </c>
      <c r="G25" s="22" cm="1">
        <f t="array" ref="G25">D25*O60</f>
        <v>150</v>
      </c>
      <c r="H25" s="22" cm="1">
        <f t="array" ref="H25">D25*P60</f>
        <v>300</v>
      </c>
      <c r="I25" s="13"/>
      <c r="J25" s="13"/>
      <c r="K25" s="13"/>
      <c r="L25" t="s" s="14">
        <v>14</v>
      </c>
      <c r="M25" t="s" s="14">
        <v>34</v>
      </c>
    </row>
    <row r="26" ht="20.05" customHeight="1">
      <c r="A26" t="s" s="11">
        <v>35</v>
      </c>
      <c r="B26" s="20"/>
      <c r="C26" t="s" s="14">
        <v>33</v>
      </c>
      <c r="D26" s="13">
        <v>70</v>
      </c>
      <c r="E26" s="24">
        <v>3</v>
      </c>
      <c r="F26" t="s" s="25">
        <v>25</v>
      </c>
      <c r="G26" s="22" cm="1">
        <f t="array" ref="G26">E26*D26</f>
        <v>210</v>
      </c>
      <c r="H26" s="22" cm="1">
        <f t="array" ref="H26">D26*P48</f>
        <v>140</v>
      </c>
      <c r="I26" s="13"/>
      <c r="J26" s="13"/>
      <c r="K26" s="13"/>
      <c r="L26" s="13"/>
      <c r="M26" s="14"/>
    </row>
    <row r="27" ht="20.05" customHeight="1">
      <c r="A27" t="s" s="11">
        <v>23</v>
      </c>
      <c r="B27" t="s" s="26">
        <v>36</v>
      </c>
      <c r="C27" s="27"/>
      <c r="D27" s="27"/>
      <c r="E27" s="27"/>
      <c r="F27" s="27"/>
      <c r="G27" s="27"/>
      <c r="H27" s="27"/>
      <c r="I27" s="19"/>
      <c r="J27" s="19"/>
      <c r="K27" s="19"/>
      <c r="L27" s="19"/>
      <c r="M27" s="14"/>
    </row>
    <row r="28" ht="20.05" customHeight="1">
      <c r="A28" t="s" s="11">
        <v>37</v>
      </c>
      <c r="B28" s="20"/>
      <c r="C28" t="s" s="14">
        <v>38</v>
      </c>
      <c r="D28" s="13">
        <v>171.82</v>
      </c>
      <c r="E28" s="19"/>
      <c r="F28" t="s" s="25">
        <v>25</v>
      </c>
      <c r="G28" s="22" cm="1">
        <f t="array" ref="G28">D28*O55</f>
        <v>1030.92</v>
      </c>
      <c r="H28" s="13" cm="1">
        <f t="array" ref="H28">D28*P55</f>
        <v>1890.02</v>
      </c>
      <c r="I28" s="19"/>
      <c r="J28" s="19"/>
      <c r="K28" s="19"/>
      <c r="L28" t="s" s="14">
        <v>14</v>
      </c>
      <c r="M28" t="s" s="14">
        <v>23</v>
      </c>
    </row>
    <row r="29" ht="20.05" customHeight="1">
      <c r="A29" t="s" s="11">
        <v>39</v>
      </c>
      <c r="B29" t="s" s="26">
        <v>40</v>
      </c>
      <c r="C29" s="27"/>
      <c r="D29" s="27"/>
      <c r="E29" s="27"/>
      <c r="F29" s="27"/>
      <c r="G29" s="27"/>
      <c r="H29" s="27"/>
      <c r="I29" s="19"/>
      <c r="J29" s="19"/>
      <c r="K29" s="19"/>
      <c r="L29" s="19"/>
      <c r="M29" s="14"/>
    </row>
    <row r="30" ht="20.05" customHeight="1">
      <c r="A30" t="s" s="11">
        <v>41</v>
      </c>
      <c r="B30" s="20"/>
      <c r="C30" t="s" s="14">
        <v>33</v>
      </c>
      <c r="D30" s="13">
        <v>50</v>
      </c>
      <c r="E30" s="24">
        <v>1</v>
      </c>
      <c r="F30" t="s" s="25">
        <v>25</v>
      </c>
      <c r="G30" s="22" cm="1">
        <f t="array" ref="G30">E30*D30</f>
        <v>50</v>
      </c>
      <c r="H30" s="22" cm="1">
        <f t="array" ref="H30">D30*P59</f>
        <v>50</v>
      </c>
      <c r="I30" s="19"/>
      <c r="J30" s="19"/>
      <c r="K30" s="19"/>
      <c r="L30" t="s" s="14">
        <v>15</v>
      </c>
      <c r="M30" t="s" s="14">
        <v>34</v>
      </c>
    </row>
    <row r="31" ht="20.05" customHeight="1">
      <c r="A31" t="s" s="11">
        <v>42</v>
      </c>
      <c r="B31" s="20"/>
      <c r="C31" t="s" s="14">
        <v>33</v>
      </c>
      <c r="D31" s="13">
        <v>50</v>
      </c>
      <c r="E31" s="24">
        <v>1</v>
      </c>
      <c r="F31" t="s" s="25">
        <v>25</v>
      </c>
      <c r="G31" s="22" cm="1">
        <f t="array" ref="G31">E31*D31</f>
        <v>50</v>
      </c>
      <c r="H31" s="13" cm="1">
        <f t="array" ref="H31">D31*P57</f>
        <v>0</v>
      </c>
      <c r="I31" s="19"/>
      <c r="J31" s="19"/>
      <c r="K31" s="19"/>
      <c r="L31" t="s" s="14">
        <v>15</v>
      </c>
      <c r="M31" t="s" s="14">
        <v>34</v>
      </c>
    </row>
    <row r="32" ht="20.05" customHeight="1">
      <c r="A32" t="s" s="11">
        <v>43</v>
      </c>
      <c r="B32" s="20"/>
      <c r="C32" t="s" s="14">
        <v>33</v>
      </c>
      <c r="D32" s="13">
        <v>50</v>
      </c>
      <c r="E32" s="24">
        <v>1</v>
      </c>
      <c r="F32" t="s" s="25">
        <v>25</v>
      </c>
      <c r="G32" s="22" cm="1">
        <f t="array" ref="G32">E32*D32</f>
        <v>50</v>
      </c>
      <c r="H32" s="22" cm="1">
        <f t="array" ref="H32">D32*P58</f>
        <v>50</v>
      </c>
      <c r="I32" s="19"/>
      <c r="J32" s="19"/>
      <c r="K32" s="19"/>
      <c r="L32" t="s" s="14">
        <v>15</v>
      </c>
      <c r="M32" t="s" s="14">
        <v>34</v>
      </c>
    </row>
    <row r="33" ht="20.05" customHeight="1">
      <c r="A33" t="s" s="21">
        <v>44</v>
      </c>
      <c r="B33" s="28"/>
      <c r="C33" t="s" s="29">
        <v>25</v>
      </c>
      <c r="D33" s="30">
        <v>75</v>
      </c>
      <c r="E33" s="31"/>
      <c r="F33" s="31"/>
      <c r="G33" s="30" cm="1">
        <f t="array" ref="G33">E33*D33</f>
        <v>0</v>
      </c>
      <c r="H33" s="30" cm="1">
        <f t="array" ref="H33">D33*P62</f>
        <v>75</v>
      </c>
      <c r="I33" s="31"/>
      <c r="J33" s="31"/>
      <c r="K33" s="31"/>
      <c r="L33" s="31"/>
      <c r="M33" s="29"/>
    </row>
    <row r="34" ht="20.05" customHeight="1">
      <c r="A34" t="s" s="21">
        <v>45</v>
      </c>
      <c r="B34" s="28"/>
      <c r="C34" t="s" s="29">
        <v>25</v>
      </c>
      <c r="D34" s="30">
        <v>75</v>
      </c>
      <c r="E34" s="31"/>
      <c r="F34" s="31"/>
      <c r="G34" s="30" cm="1">
        <f t="array" ref="G34">E34*D34</f>
        <v>0</v>
      </c>
      <c r="H34" s="30" cm="1">
        <f t="array" ref="H34">D34*P63</f>
        <v>150</v>
      </c>
      <c r="I34" s="31"/>
      <c r="J34" s="31"/>
      <c r="K34" s="31"/>
      <c r="L34" t="s" s="29">
        <v>15</v>
      </c>
      <c r="M34" t="s" s="29">
        <v>34</v>
      </c>
    </row>
    <row r="35" ht="20.05" customHeight="1">
      <c r="A35" t="s" s="21">
        <v>46</v>
      </c>
      <c r="B35" s="28"/>
      <c r="C35" t="s" s="29">
        <v>25</v>
      </c>
      <c r="D35" s="30">
        <v>75</v>
      </c>
      <c r="E35" s="31"/>
      <c r="F35" s="31"/>
      <c r="G35" s="30" cm="1">
        <f t="array" ref="G35">E35*D35</f>
        <v>0</v>
      </c>
      <c r="H35" s="30" cm="1">
        <f t="array" ref="H35">D35*P64</f>
        <v>150</v>
      </c>
      <c r="I35" s="31"/>
      <c r="J35" s="31"/>
      <c r="K35" s="31"/>
      <c r="L35" t="s" s="29">
        <v>15</v>
      </c>
      <c r="M35" t="s" s="29">
        <v>34</v>
      </c>
    </row>
    <row r="36" ht="20.05" customHeight="1">
      <c r="A36" t="s" s="32">
        <v>47</v>
      </c>
      <c r="B36" s="33">
        <v>15</v>
      </c>
      <c r="C36" s="13">
        <v>500</v>
      </c>
      <c r="D36" s="13">
        <v>75</v>
      </c>
      <c r="E36" s="19"/>
      <c r="F36" t="s" s="25">
        <v>25</v>
      </c>
      <c r="G36" s="22" cm="1">
        <f t="array" ref="G36">E36*D36</f>
        <v>0</v>
      </c>
      <c r="H36" s="22" cm="1">
        <f t="array" ref="H36">D36*P65</f>
        <v>600</v>
      </c>
      <c r="I36" s="19"/>
      <c r="J36" s="19"/>
      <c r="K36" s="19"/>
      <c r="L36" s="19"/>
      <c r="M36" s="14"/>
    </row>
    <row r="37" ht="20.05" customHeight="1">
      <c r="A37" t="s" s="32">
        <v>48</v>
      </c>
      <c r="B37" s="33">
        <v>11</v>
      </c>
      <c r="C37" s="13">
        <v>250</v>
      </c>
      <c r="D37" s="13">
        <v>75</v>
      </c>
      <c r="E37" s="19"/>
      <c r="F37" t="s" s="25">
        <v>25</v>
      </c>
      <c r="G37" s="22" cm="1">
        <f t="array" ref="G37">E37*D37</f>
        <v>0</v>
      </c>
      <c r="H37" s="22" cm="1">
        <f t="array" ref="H37">D37*P66</f>
        <v>150</v>
      </c>
      <c r="I37" s="19"/>
      <c r="J37" s="19"/>
      <c r="K37" s="19"/>
      <c r="L37" t="s" s="14">
        <v>15</v>
      </c>
      <c r="M37" t="s" s="14">
        <v>34</v>
      </c>
    </row>
    <row r="38" ht="20.05" customHeight="1">
      <c r="A38" t="s" s="32">
        <v>49</v>
      </c>
      <c r="B38" s="33">
        <v>11</v>
      </c>
      <c r="C38" s="13">
        <v>250</v>
      </c>
      <c r="D38" s="13">
        <v>75</v>
      </c>
      <c r="E38" s="19"/>
      <c r="F38" t="s" s="25">
        <v>25</v>
      </c>
      <c r="G38" s="22" cm="1">
        <f t="array" ref="G38">E38*D38</f>
        <v>0</v>
      </c>
      <c r="H38" s="22" cm="1">
        <f t="array" ref="H38">D38*P67</f>
        <v>150</v>
      </c>
      <c r="I38" s="19"/>
      <c r="J38" s="19"/>
      <c r="K38" s="19"/>
      <c r="L38" t="s" s="14">
        <v>15</v>
      </c>
      <c r="M38" t="s" s="14">
        <v>34</v>
      </c>
    </row>
    <row r="39" ht="20.05" customHeight="1">
      <c r="A39" t="s" s="32">
        <v>50</v>
      </c>
      <c r="B39" s="33">
        <v>14</v>
      </c>
      <c r="C39" s="13">
        <v>260</v>
      </c>
      <c r="D39" s="13">
        <v>75</v>
      </c>
      <c r="E39" s="19"/>
      <c r="F39" t="s" s="25">
        <v>25</v>
      </c>
      <c r="G39" s="22" cm="1">
        <f t="array" ref="G39">E39*D39</f>
        <v>0</v>
      </c>
      <c r="H39" s="22" cm="1">
        <f t="array" ref="H39">D39*P68</f>
        <v>75</v>
      </c>
      <c r="I39" s="19"/>
      <c r="J39" s="19"/>
      <c r="K39" s="19"/>
      <c r="L39" t="s" s="14">
        <v>15</v>
      </c>
      <c r="M39" t="s" s="14">
        <v>34</v>
      </c>
    </row>
    <row r="40" ht="20.05" customHeight="1">
      <c r="A40" t="s" s="32">
        <v>51</v>
      </c>
      <c r="B40" s="33">
        <v>14</v>
      </c>
      <c r="C40" s="13">
        <v>260</v>
      </c>
      <c r="D40" s="13">
        <v>75</v>
      </c>
      <c r="E40" s="19"/>
      <c r="F40" t="s" s="25">
        <v>25</v>
      </c>
      <c r="G40" s="22" cm="1">
        <f t="array" ref="G40">E40*D40</f>
        <v>0</v>
      </c>
      <c r="H40" s="22" cm="1">
        <f t="array" ref="H40">D40*P69</f>
        <v>75</v>
      </c>
      <c r="I40" s="19"/>
      <c r="J40" s="19"/>
      <c r="K40" s="19"/>
      <c r="L40" t="s" s="14">
        <v>15</v>
      </c>
      <c r="M40" t="s" s="14">
        <v>34</v>
      </c>
    </row>
    <row r="41" ht="20.05" customHeight="1">
      <c r="A41" t="s" s="32">
        <v>52</v>
      </c>
      <c r="B41" s="33">
        <v>14</v>
      </c>
      <c r="C41" s="13">
        <v>280</v>
      </c>
      <c r="D41" s="13">
        <v>75</v>
      </c>
      <c r="E41" s="19"/>
      <c r="F41" t="s" s="25">
        <v>25</v>
      </c>
      <c r="G41" s="22" cm="1">
        <f t="array" ref="G41">E41*D41</f>
        <v>0</v>
      </c>
      <c r="H41" s="22" cm="1">
        <f t="array" ref="H41">D41*P70</f>
        <v>75</v>
      </c>
      <c r="I41" s="19"/>
      <c r="J41" s="19"/>
      <c r="K41" s="19"/>
      <c r="L41" t="s" s="14">
        <v>15</v>
      </c>
      <c r="M41" t="s" s="14">
        <v>34</v>
      </c>
    </row>
    <row r="43" ht="27.65" customHeight="1">
      <c r="N43" t="s" s="2">
        <v>53</v>
      </c>
      <c r="O43" s="2"/>
      <c r="P43" s="2"/>
      <c r="Q43" s="2"/>
      <c r="R43" s="2"/>
      <c r="S43" s="2"/>
      <c r="T43" s="2"/>
      <c r="U43" s="2"/>
      <c r="V43" s="2"/>
    </row>
    <row r="44" ht="31.15" customHeight="1">
      <c r="N44" t="s" s="3">
        <v>25</v>
      </c>
      <c r="O44" s="5">
        <v>45931</v>
      </c>
      <c r="P44" s="5">
        <v>45962</v>
      </c>
      <c r="Q44" s="35"/>
      <c r="R44" s="35"/>
      <c r="S44" s="35"/>
      <c r="T44" s="35"/>
      <c r="U44" s="35"/>
      <c r="V44" t="s" s="3">
        <v>54</v>
      </c>
    </row>
    <row r="45" ht="31.15" customHeight="1">
      <c r="N45" t="s" s="6">
        <v>55</v>
      </c>
      <c r="O45" s="36">
        <v>4</v>
      </c>
      <c r="P45" s="37"/>
      <c r="Q45" s="37"/>
      <c r="R45" s="37"/>
      <c r="S45" s="37"/>
      <c r="T45" s="37"/>
      <c r="U45" s="37"/>
      <c r="V45" s="8">
        <v>500</v>
      </c>
    </row>
    <row r="46" ht="30.85" customHeight="1">
      <c r="N46" t="s" s="11">
        <v>56</v>
      </c>
      <c r="O46" s="38">
        <v>0</v>
      </c>
      <c r="P46" s="19"/>
      <c r="Q46" s="19"/>
      <c r="R46" s="19"/>
      <c r="S46" s="19"/>
      <c r="T46" s="19"/>
      <c r="U46" s="19"/>
      <c r="V46" s="13">
        <v>115</v>
      </c>
    </row>
    <row r="47" ht="30.85" customHeight="1">
      <c r="N47" t="s" s="11">
        <v>10</v>
      </c>
      <c r="O47" s="39"/>
      <c r="P47" s="24">
        <v>4</v>
      </c>
      <c r="Q47" s="19"/>
      <c r="R47" s="19"/>
      <c r="S47" s="19"/>
      <c r="T47" s="19"/>
      <c r="U47" s="19"/>
      <c r="V47" s="19"/>
    </row>
    <row r="48" ht="30.85" customHeight="1">
      <c r="N48" t="s" s="11">
        <v>35</v>
      </c>
      <c r="O48" s="38">
        <v>3</v>
      </c>
      <c r="P48" s="24">
        <v>2</v>
      </c>
      <c r="Q48" s="19"/>
      <c r="R48" s="19"/>
      <c r="S48" s="19"/>
      <c r="T48" s="19"/>
      <c r="U48" s="19"/>
      <c r="V48" s="19"/>
    </row>
    <row r="49" ht="30.85" customHeight="1">
      <c r="N49" t="s" s="11">
        <v>16</v>
      </c>
      <c r="O49" s="39"/>
      <c r="P49" s="24">
        <v>4</v>
      </c>
      <c r="Q49" s="19"/>
      <c r="R49" s="19"/>
      <c r="S49" s="19"/>
      <c r="T49" s="19"/>
      <c r="U49" s="19"/>
      <c r="V49" s="19"/>
    </row>
    <row r="50" ht="30.85" customHeight="1">
      <c r="N50" t="s" s="11">
        <v>17</v>
      </c>
      <c r="O50" s="39"/>
      <c r="P50" s="19"/>
      <c r="Q50" s="19"/>
      <c r="R50" s="19"/>
      <c r="S50" s="19"/>
      <c r="T50" s="19"/>
      <c r="U50" s="19"/>
      <c r="V50" s="19"/>
    </row>
    <row r="51" ht="30.85" customHeight="1">
      <c r="N51" t="s" s="11">
        <v>18</v>
      </c>
      <c r="O51" s="39"/>
      <c r="P51" s="24">
        <v>4</v>
      </c>
      <c r="Q51" s="19"/>
      <c r="R51" s="19"/>
      <c r="S51" s="19"/>
      <c r="T51" s="19"/>
      <c r="U51" s="19"/>
      <c r="V51" t="s" s="14">
        <v>57</v>
      </c>
    </row>
    <row r="52" ht="30.85" customHeight="1">
      <c r="N52" t="s" s="11">
        <v>19</v>
      </c>
      <c r="O52" s="39"/>
      <c r="P52" s="24">
        <v>1</v>
      </c>
      <c r="Q52" s="19"/>
      <c r="R52" s="19"/>
      <c r="S52" s="19"/>
      <c r="T52" s="19"/>
      <c r="U52" s="19"/>
      <c r="V52" s="19"/>
    </row>
    <row r="53" ht="30.85" customHeight="1">
      <c r="N53" t="s" s="11">
        <v>20</v>
      </c>
      <c r="O53" s="39"/>
      <c r="P53" s="24">
        <v>1</v>
      </c>
      <c r="Q53" s="19"/>
      <c r="R53" s="19"/>
      <c r="S53" s="19"/>
      <c r="T53" s="19"/>
      <c r="U53" s="19"/>
      <c r="V53" s="19"/>
    </row>
    <row r="54" ht="30.85" customHeight="1">
      <c r="N54" t="s" s="11">
        <v>21</v>
      </c>
      <c r="O54" s="39"/>
      <c r="P54" s="24">
        <v>1</v>
      </c>
      <c r="Q54" s="19"/>
      <c r="R54" s="19"/>
      <c r="S54" s="19"/>
      <c r="T54" s="19"/>
      <c r="U54" s="19"/>
      <c r="V54" s="19"/>
    </row>
    <row r="55" ht="30.85" customHeight="1">
      <c r="N55" t="s" s="11">
        <v>22</v>
      </c>
      <c r="O55" s="38">
        <v>6</v>
      </c>
      <c r="P55" s="24">
        <v>11</v>
      </c>
      <c r="Q55" s="19"/>
      <c r="R55" s="19"/>
      <c r="S55" s="19"/>
      <c r="T55" s="19"/>
      <c r="U55" s="19"/>
      <c r="V55" s="19"/>
    </row>
    <row r="56" ht="30.85" customHeight="1">
      <c r="N56" t="s" s="11">
        <v>27</v>
      </c>
      <c r="O56" s="39"/>
      <c r="P56" s="24">
        <v>1</v>
      </c>
      <c r="Q56" s="19"/>
      <c r="R56" s="19"/>
      <c r="S56" s="19"/>
      <c r="T56" s="19"/>
      <c r="U56" s="19"/>
      <c r="V56" s="19"/>
    </row>
    <row r="57" ht="30.85" customHeight="1">
      <c r="N57" t="s" s="11">
        <v>42</v>
      </c>
      <c r="O57" s="38">
        <v>1</v>
      </c>
      <c r="P57" s="19"/>
      <c r="Q57" s="19"/>
      <c r="R57" s="19"/>
      <c r="S57" s="19"/>
      <c r="T57" s="19"/>
      <c r="U57" s="19"/>
      <c r="V57" s="19"/>
    </row>
    <row r="58" ht="30.85" customHeight="1">
      <c r="N58" t="s" s="11">
        <v>43</v>
      </c>
      <c r="O58" s="38">
        <v>1</v>
      </c>
      <c r="P58" s="24">
        <v>1</v>
      </c>
      <c r="Q58" s="19"/>
      <c r="R58" s="19"/>
      <c r="S58" s="19"/>
      <c r="T58" s="19"/>
      <c r="U58" s="19"/>
      <c r="V58" s="19"/>
    </row>
    <row r="59" ht="30.85" customHeight="1">
      <c r="N59" t="s" s="11">
        <v>41</v>
      </c>
      <c r="O59" s="38">
        <v>1</v>
      </c>
      <c r="P59" s="24">
        <v>1</v>
      </c>
      <c r="Q59" s="19"/>
      <c r="R59" s="19"/>
      <c r="S59" s="19"/>
      <c r="T59" s="19"/>
      <c r="U59" s="19"/>
      <c r="V59" s="19"/>
    </row>
    <row r="60" ht="30.85" customHeight="1">
      <c r="N60" t="s" s="11">
        <v>32</v>
      </c>
      <c r="O60" s="38">
        <v>2</v>
      </c>
      <c r="P60" s="24">
        <v>4</v>
      </c>
      <c r="Q60" s="19"/>
      <c r="R60" s="19"/>
      <c r="S60" s="19"/>
      <c r="T60" s="19"/>
      <c r="U60" s="19"/>
      <c r="V60" s="19"/>
    </row>
    <row r="61" ht="30.85" customHeight="1">
      <c r="N61" t="s" s="32">
        <v>58</v>
      </c>
      <c r="O61" s="39"/>
      <c r="P61" s="19"/>
      <c r="Q61" s="19"/>
      <c r="R61" s="19"/>
      <c r="S61" s="19"/>
      <c r="T61" s="19"/>
      <c r="U61" s="19"/>
      <c r="V61" s="19"/>
    </row>
    <row r="62" ht="30.85" customHeight="1">
      <c r="N62" t="s" s="32">
        <v>59</v>
      </c>
      <c r="O62" s="39"/>
      <c r="P62" s="24">
        <v>1</v>
      </c>
      <c r="Q62" s="19"/>
      <c r="R62" s="19"/>
      <c r="S62" s="19"/>
      <c r="T62" s="19"/>
      <c r="U62" s="19"/>
      <c r="V62" s="19"/>
    </row>
    <row r="63" ht="30.85" customHeight="1">
      <c r="N63" t="s" s="32">
        <v>45</v>
      </c>
      <c r="O63" s="39"/>
      <c r="P63" s="24">
        <v>2</v>
      </c>
      <c r="Q63" s="19"/>
      <c r="R63" s="19"/>
      <c r="S63" s="19"/>
      <c r="T63" s="19"/>
      <c r="U63" s="19"/>
      <c r="V63" s="19"/>
    </row>
    <row r="64" ht="30.85" customHeight="1">
      <c r="N64" t="s" s="32">
        <v>46</v>
      </c>
      <c r="O64" s="39"/>
      <c r="P64" s="24">
        <v>2</v>
      </c>
      <c r="Q64" s="19"/>
      <c r="R64" s="19"/>
      <c r="S64" s="19"/>
      <c r="T64" s="19"/>
      <c r="U64" s="19"/>
      <c r="V64" s="19"/>
    </row>
    <row r="65" ht="30.85" customHeight="1">
      <c r="N65" t="s" s="32">
        <v>47</v>
      </c>
      <c r="O65" s="39"/>
      <c r="P65" s="24">
        <v>8</v>
      </c>
      <c r="Q65" s="19"/>
      <c r="R65" s="19"/>
      <c r="S65" s="19"/>
      <c r="T65" s="19"/>
      <c r="U65" s="19"/>
      <c r="V65" s="19"/>
    </row>
    <row r="66" ht="30.85" customHeight="1">
      <c r="N66" t="s" s="32">
        <v>48</v>
      </c>
      <c r="O66" s="39"/>
      <c r="P66" s="24">
        <v>2</v>
      </c>
      <c r="Q66" s="19"/>
      <c r="R66" s="19"/>
      <c r="S66" s="19"/>
      <c r="T66" s="19"/>
      <c r="U66" s="19"/>
      <c r="V66" s="19"/>
    </row>
    <row r="67" ht="30.85" customHeight="1">
      <c r="N67" t="s" s="32">
        <v>49</v>
      </c>
      <c r="O67" s="39"/>
      <c r="P67" s="24">
        <v>2</v>
      </c>
      <c r="Q67" s="19"/>
      <c r="R67" s="19"/>
      <c r="S67" s="19"/>
      <c r="T67" s="19"/>
      <c r="U67" s="19"/>
      <c r="V67" s="19"/>
    </row>
    <row r="68" ht="30.85" customHeight="1">
      <c r="N68" t="s" s="32">
        <v>50</v>
      </c>
      <c r="O68" s="39"/>
      <c r="P68" s="24">
        <v>1</v>
      </c>
      <c r="Q68" s="19"/>
      <c r="R68" s="19"/>
      <c r="S68" s="19"/>
      <c r="T68" s="19"/>
      <c r="U68" s="19"/>
      <c r="V68" s="19"/>
    </row>
    <row r="69" ht="30.85" customHeight="1">
      <c r="N69" t="s" s="32">
        <v>51</v>
      </c>
      <c r="O69" s="39"/>
      <c r="P69" s="24">
        <v>1</v>
      </c>
      <c r="Q69" s="19"/>
      <c r="R69" s="19"/>
      <c r="S69" s="19"/>
      <c r="T69" s="19"/>
      <c r="U69" s="19"/>
      <c r="V69" s="19"/>
    </row>
    <row r="70" ht="30.85" customHeight="1">
      <c r="N70" t="s" s="32">
        <v>52</v>
      </c>
      <c r="O70" s="39"/>
      <c r="P70" s="24">
        <v>1</v>
      </c>
      <c r="Q70" s="19"/>
      <c r="R70" s="19"/>
      <c r="S70" s="19"/>
      <c r="T70" s="19"/>
      <c r="U70" s="19"/>
      <c r="V70" s="19"/>
    </row>
    <row r="71" ht="30.85" customHeight="1">
      <c r="N71" t="s" s="32">
        <v>30</v>
      </c>
      <c r="O71" s="38" cm="1">
        <f t="array" ref="O71">SUM(O45:O70)</f>
        <v>18</v>
      </c>
      <c r="P71" s="40" cm="1">
        <f t="array" ref="P71">SUM(P45:P70)</f>
        <v>55</v>
      </c>
      <c r="Q71" s="40" cm="1">
        <f t="array" ref="Q71">SUM(Q45:Q70)</f>
        <v>0</v>
      </c>
      <c r="R71" s="40" cm="1">
        <f t="array" ref="R71">SUM(R45:R70)</f>
        <v>0</v>
      </c>
      <c r="S71" s="40" cm="1">
        <f t="array" ref="S71">SUM(S45:S70)</f>
        <v>0</v>
      </c>
      <c r="T71" s="40" cm="1">
        <f t="array" ref="T71">SUM(T45:T70)</f>
        <v>0</v>
      </c>
      <c r="U71" s="40" cm="1">
        <f t="array" ref="U71">SUM(U45:U70)</f>
        <v>0</v>
      </c>
      <c r="V71" s="19"/>
    </row>
    <row r="73" ht="27.65" customHeight="1">
      <c r="W73" t="s" s="2">
        <v>60</v>
      </c>
      <c r="X73" s="2"/>
      <c r="Y73" s="2"/>
      <c r="Z73" s="2"/>
      <c r="AA73" s="2"/>
      <c r="AB73" s="2"/>
      <c r="AC73" s="2"/>
      <c r="AD73" s="2"/>
      <c r="AE73" s="2"/>
      <c r="AF73" s="2"/>
    </row>
    <row r="74" ht="40.8" customHeight="1">
      <c r="W74" s="35"/>
      <c r="X74" t="s" s="3">
        <v>61</v>
      </c>
      <c r="Y74" t="s" s="3">
        <v>62</v>
      </c>
      <c r="Z74" t="s" s="3">
        <v>63</v>
      </c>
      <c r="AA74" t="s" s="3">
        <v>64</v>
      </c>
      <c r="AB74" t="s" s="3">
        <v>65</v>
      </c>
      <c r="AC74" t="s" s="3">
        <v>66</v>
      </c>
      <c r="AD74" t="s" s="3">
        <v>67</v>
      </c>
      <c r="AE74" t="s" s="3">
        <v>68</v>
      </c>
      <c r="AF74" t="s" s="3">
        <v>69</v>
      </c>
    </row>
    <row r="75" ht="25.65" customHeight="1">
      <c r="W75" t="s" s="6">
        <v>55</v>
      </c>
      <c r="X75" s="42"/>
      <c r="Y75" s="43"/>
      <c r="Z75" s="43"/>
      <c r="AA75" s="43"/>
      <c r="AB75" s="43"/>
      <c r="AC75" s="43"/>
      <c r="AD75" s="43"/>
      <c r="AE75" s="43"/>
      <c r="AF75" s="43"/>
    </row>
    <row r="76" ht="25.4" customHeight="1">
      <c r="W76" t="s" s="11">
        <v>56</v>
      </c>
      <c r="X76" s="20"/>
      <c r="Y76" s="27"/>
      <c r="Z76" s="27"/>
      <c r="AA76" s="27"/>
      <c r="AB76" s="27"/>
      <c r="AC76" s="27"/>
      <c r="AD76" s="27"/>
      <c r="AE76" s="27"/>
      <c r="AF76" s="27"/>
    </row>
    <row r="77" ht="25.4" customHeight="1">
      <c r="W77" t="s" s="11">
        <v>10</v>
      </c>
      <c r="X77" s="20"/>
      <c r="Y77" s="27"/>
      <c r="Z77" s="27"/>
      <c r="AA77" s="27"/>
      <c r="AB77" s="27"/>
      <c r="AC77" s="27"/>
      <c r="AD77" s="27"/>
      <c r="AE77" s="27"/>
      <c r="AF77" s="27"/>
    </row>
    <row r="78" ht="25.4" customHeight="1">
      <c r="W78" t="s" s="11">
        <v>35</v>
      </c>
      <c r="X78" s="20"/>
      <c r="Y78" s="27"/>
      <c r="Z78" s="27"/>
      <c r="AA78" s="27"/>
      <c r="AB78" s="27"/>
      <c r="AC78" s="27"/>
      <c r="AD78" s="27"/>
      <c r="AE78" s="27"/>
      <c r="AF78" s="27"/>
    </row>
    <row r="79" ht="25.4" customHeight="1">
      <c r="W79" t="s" s="11">
        <v>16</v>
      </c>
      <c r="X79" s="20"/>
      <c r="Y79" s="27"/>
      <c r="Z79" s="27"/>
      <c r="AA79" s="27"/>
      <c r="AB79" s="27"/>
      <c r="AC79" s="27"/>
      <c r="AD79" s="27"/>
      <c r="AE79" s="27"/>
      <c r="AF79" s="27"/>
    </row>
    <row r="80" ht="40.6" customHeight="1">
      <c r="W80" t="s" s="11">
        <v>17</v>
      </c>
      <c r="X80" s="20"/>
      <c r="Y80" s="27"/>
      <c r="Z80" s="27"/>
      <c r="AA80" s="27"/>
      <c r="AB80" s="27"/>
      <c r="AC80" s="27"/>
      <c r="AD80" s="27"/>
      <c r="AE80" s="27"/>
      <c r="AF80" s="27"/>
    </row>
    <row r="81" ht="25.4" customHeight="1">
      <c r="W81" t="s" s="11">
        <v>18</v>
      </c>
      <c r="X81" s="20"/>
      <c r="Y81" s="27"/>
      <c r="Z81" s="27"/>
      <c r="AA81" s="27"/>
      <c r="AB81" s="27"/>
      <c r="AC81" s="27"/>
      <c r="AD81" s="27"/>
      <c r="AE81" s="27"/>
      <c r="AF81" s="27"/>
    </row>
    <row r="82" ht="25.4" customHeight="1">
      <c r="W82" t="s" s="11">
        <v>19</v>
      </c>
      <c r="X82" s="20"/>
      <c r="Y82" s="27"/>
      <c r="Z82" s="27"/>
      <c r="AA82" s="27"/>
      <c r="AB82" s="27"/>
      <c r="AC82" s="27"/>
      <c r="AD82" s="27"/>
      <c r="AE82" s="27"/>
      <c r="AF82" s="27"/>
    </row>
    <row r="83" ht="25.4" customHeight="1">
      <c r="W83" t="s" s="11">
        <v>20</v>
      </c>
      <c r="X83" s="20"/>
      <c r="Y83" s="27"/>
      <c r="Z83" s="27"/>
      <c r="AA83" s="27"/>
      <c r="AB83" s="27"/>
      <c r="AC83" s="27"/>
      <c r="AD83" s="27"/>
      <c r="AE83" s="27"/>
      <c r="AF83" s="27"/>
    </row>
    <row r="84" ht="25.4" customHeight="1">
      <c r="W84" t="s" s="11">
        <v>21</v>
      </c>
      <c r="X84" s="20"/>
      <c r="Y84" s="27"/>
      <c r="Z84" s="27"/>
      <c r="AA84" s="27"/>
      <c r="AB84" s="27"/>
      <c r="AC84" s="27"/>
      <c r="AD84" s="27"/>
      <c r="AE84" s="27"/>
      <c r="AF84" s="27"/>
    </row>
    <row r="85" ht="25.4" customHeight="1">
      <c r="W85" t="s" s="11">
        <v>22</v>
      </c>
      <c r="X85" s="20"/>
      <c r="Y85" s="27"/>
      <c r="Z85" s="27"/>
      <c r="AA85" s="27"/>
      <c r="AB85" s="27"/>
      <c r="AC85" s="27"/>
      <c r="AD85" s="27"/>
      <c r="AE85" s="27"/>
      <c r="AF85" s="27"/>
    </row>
    <row r="86" ht="25.4" customHeight="1">
      <c r="W86" t="s" s="11">
        <v>27</v>
      </c>
      <c r="X86" s="20"/>
      <c r="Y86" s="27"/>
      <c r="Z86" s="27"/>
      <c r="AA86" s="27"/>
      <c r="AB86" s="27"/>
      <c r="AC86" s="27"/>
      <c r="AD86" s="27"/>
      <c r="AE86" s="27"/>
      <c r="AF86" s="27"/>
    </row>
    <row r="87" ht="25.4" customHeight="1">
      <c r="W87" t="s" s="11">
        <v>42</v>
      </c>
      <c r="X87" s="20"/>
      <c r="Y87" s="27"/>
      <c r="Z87" s="27"/>
      <c r="AA87" s="27"/>
      <c r="AB87" s="27"/>
      <c r="AC87" s="27"/>
      <c r="AD87" s="27"/>
      <c r="AE87" s="27"/>
      <c r="AF87" s="27"/>
    </row>
    <row r="88" ht="25.4" customHeight="1">
      <c r="W88" t="s" s="11">
        <v>43</v>
      </c>
      <c r="X88" s="20"/>
      <c r="Y88" s="27"/>
      <c r="Z88" s="27"/>
      <c r="AA88" s="27"/>
      <c r="AB88" s="27"/>
      <c r="AC88" s="27"/>
      <c r="AD88" s="27"/>
      <c r="AE88" s="27"/>
      <c r="AF88" s="27"/>
    </row>
    <row r="89" ht="25.4" customHeight="1">
      <c r="W89" t="s" s="11">
        <v>41</v>
      </c>
      <c r="X89" s="20"/>
      <c r="Y89" s="27"/>
      <c r="Z89" s="27"/>
      <c r="AA89" s="27"/>
      <c r="AB89" s="27"/>
      <c r="AC89" s="27"/>
      <c r="AD89" s="27"/>
      <c r="AE89" s="27"/>
      <c r="AF89" s="27"/>
    </row>
    <row r="90" ht="25.4" customHeight="1">
      <c r="W90" t="s" s="11">
        <v>32</v>
      </c>
      <c r="X90" s="20"/>
      <c r="Y90" s="27"/>
      <c r="Z90" s="27"/>
      <c r="AA90" s="27"/>
      <c r="AB90" s="27"/>
      <c r="AC90" s="27"/>
      <c r="AD90" s="27"/>
      <c r="AE90" s="27"/>
      <c r="AF90" s="27"/>
    </row>
    <row r="91" ht="25.4" customHeight="1">
      <c r="W91" s="17"/>
      <c r="X91" s="20"/>
      <c r="Y91" s="27"/>
      <c r="Z91" s="27"/>
      <c r="AA91" s="27"/>
      <c r="AB91" s="27"/>
      <c r="AC91" s="27"/>
      <c r="AD91" s="27"/>
      <c r="AE91" s="27"/>
      <c r="AF91" s="27"/>
    </row>
    <row r="92" ht="25.4" customHeight="1">
      <c r="W92" t="s" s="44">
        <v>70</v>
      </c>
      <c r="X92" s="20"/>
      <c r="Y92" s="27"/>
      <c r="Z92" s="27"/>
      <c r="AA92" s="27"/>
      <c r="AB92" s="27"/>
      <c r="AC92" s="27"/>
      <c r="AD92" s="27"/>
      <c r="AE92" s="27"/>
      <c r="AF92" s="27"/>
    </row>
    <row r="93" ht="25.4" customHeight="1">
      <c r="W93" t="s" s="44">
        <v>58</v>
      </c>
      <c r="X93" s="20"/>
      <c r="Y93" s="27"/>
      <c r="Z93" s="27"/>
      <c r="AA93" s="27"/>
      <c r="AB93" s="27"/>
      <c r="AC93" s="27"/>
      <c r="AD93" s="27"/>
      <c r="AE93" s="27"/>
      <c r="AF93" s="27"/>
    </row>
    <row r="94" ht="25.4" customHeight="1">
      <c r="W94" t="s" s="44">
        <v>71</v>
      </c>
      <c r="X94" s="20"/>
      <c r="Y94" s="27"/>
      <c r="Z94" s="27"/>
      <c r="AA94" s="27"/>
      <c r="AB94" s="27"/>
      <c r="AC94" s="27"/>
      <c r="AD94" s="27"/>
      <c r="AE94" s="27"/>
      <c r="AF94" s="27"/>
    </row>
    <row r="95" ht="37.35" customHeight="1">
      <c r="W95" t="s" s="44">
        <v>45</v>
      </c>
      <c r="X95" s="20"/>
      <c r="Y95" s="27"/>
      <c r="Z95" s="27"/>
      <c r="AA95" s="27"/>
      <c r="AB95" s="27"/>
      <c r="AC95" s="27"/>
      <c r="AD95" s="27"/>
      <c r="AE95" s="27"/>
      <c r="AF95" s="27"/>
    </row>
    <row r="96" ht="40.55" customHeight="1">
      <c r="W96" t="s" s="44">
        <v>46</v>
      </c>
      <c r="X96" s="20"/>
      <c r="Y96" s="27"/>
      <c r="Z96" s="27"/>
      <c r="AA96" s="27"/>
      <c r="AB96" s="27"/>
      <c r="AC96" s="27"/>
      <c r="AD96" s="27"/>
      <c r="AE96" s="27"/>
      <c r="AF96" s="27"/>
    </row>
    <row r="97" ht="25.4" customHeight="1">
      <c r="W97" t="s" s="44">
        <v>48</v>
      </c>
      <c r="X97" s="20"/>
      <c r="Y97" s="27"/>
      <c r="Z97" s="27"/>
      <c r="AA97" s="27"/>
      <c r="AB97" s="27"/>
      <c r="AC97" s="27"/>
      <c r="AD97" s="27"/>
      <c r="AE97" s="27"/>
      <c r="AF97" s="27"/>
    </row>
    <row r="98" ht="25.4" customHeight="1">
      <c r="W98" t="s" s="44">
        <v>49</v>
      </c>
      <c r="X98" s="20"/>
      <c r="Y98" s="27"/>
      <c r="Z98" s="27"/>
      <c r="AA98" s="27"/>
      <c r="AB98" s="27"/>
      <c r="AC98" s="27"/>
      <c r="AD98" s="27"/>
      <c r="AE98" s="27"/>
      <c r="AF98" s="27"/>
    </row>
    <row r="100" ht="27.65" customHeight="1">
      <c r="AG100" t="s" s="2">
        <v>72</v>
      </c>
      <c r="AH100" s="2"/>
      <c r="AI100" s="2"/>
      <c r="AJ100" s="2"/>
      <c r="AK100" s="2"/>
      <c r="AL100" s="2"/>
      <c r="AM100" s="2"/>
      <c r="AN100" s="2"/>
      <c r="AO100" s="2"/>
    </row>
    <row r="101" ht="29.5" customHeight="1">
      <c r="AG101" s="35"/>
      <c r="AH101" t="s" s="3">
        <v>61</v>
      </c>
      <c r="AI101" t="s" s="3">
        <v>62</v>
      </c>
      <c r="AJ101" t="s" s="3">
        <v>63</v>
      </c>
      <c r="AK101" t="s" s="3">
        <v>64</v>
      </c>
      <c r="AL101" t="s" s="3">
        <v>65</v>
      </c>
      <c r="AM101" t="s" s="3">
        <v>66</v>
      </c>
      <c r="AN101" t="s" s="3">
        <v>53</v>
      </c>
      <c r="AO101" t="s" s="3">
        <v>67</v>
      </c>
    </row>
    <row r="102" ht="29.5" customHeight="1">
      <c r="AG102" t="s" s="6">
        <v>55</v>
      </c>
      <c r="AH102" s="46"/>
      <c r="AI102" s="37"/>
      <c r="AJ102" s="37"/>
      <c r="AK102" s="37"/>
      <c r="AL102" s="37"/>
      <c r="AM102" s="37"/>
      <c r="AN102" s="47" cm="1">
        <f t="array" ref="AN102">SUM(AH102:AM102)</f>
        <v>0</v>
      </c>
      <c r="AO102" s="37"/>
    </row>
    <row r="103" ht="29.2" customHeight="1">
      <c r="AG103" t="s" s="11">
        <v>56</v>
      </c>
      <c r="AH103" s="18"/>
      <c r="AI103" s="19"/>
      <c r="AJ103" s="19"/>
      <c r="AK103" s="19"/>
      <c r="AL103" s="19"/>
      <c r="AM103" s="19"/>
      <c r="AN103" s="24" cm="1">
        <f t="array" ref="AN103">SUM(AH103:AM103)</f>
        <v>0</v>
      </c>
      <c r="AO103" s="19"/>
    </row>
    <row r="104" ht="29.2" customHeight="1">
      <c r="AG104" t="s" s="11">
        <v>10</v>
      </c>
      <c r="AH104" s="12">
        <v>1</v>
      </c>
      <c r="AI104" s="19"/>
      <c r="AJ104" s="24">
        <v>1</v>
      </c>
      <c r="AK104" s="24">
        <v>1</v>
      </c>
      <c r="AL104" s="24">
        <v>2</v>
      </c>
      <c r="AM104" s="19"/>
      <c r="AN104" s="24" cm="1">
        <f t="array" ref="AN104">SUM(AH104:AM104)</f>
        <v>5</v>
      </c>
      <c r="AO104" s="19"/>
    </row>
    <row r="105" ht="29.2" customHeight="1">
      <c r="AG105" t="s" s="11">
        <v>35</v>
      </c>
      <c r="AH105" s="12">
        <v>1</v>
      </c>
      <c r="AI105" s="19"/>
      <c r="AJ105" s="19"/>
      <c r="AK105" s="19"/>
      <c r="AL105" s="24">
        <v>1</v>
      </c>
      <c r="AM105" s="19"/>
      <c r="AN105" s="24" cm="1">
        <f t="array" ref="AN105">SUM(AH105:AM105)</f>
        <v>2</v>
      </c>
      <c r="AO105" s="19"/>
    </row>
    <row r="106" ht="29.2" customHeight="1">
      <c r="AG106" t="s" s="11">
        <v>16</v>
      </c>
      <c r="AH106" s="12">
        <v>1</v>
      </c>
      <c r="AI106" s="24">
        <v>1</v>
      </c>
      <c r="AJ106" s="24">
        <v>1</v>
      </c>
      <c r="AK106" s="19"/>
      <c r="AL106" s="19"/>
      <c r="AM106" s="19"/>
      <c r="AN106" s="24" cm="1">
        <f t="array" ref="AN106">SUM(AH106:AM106)</f>
        <v>3</v>
      </c>
      <c r="AO106" s="19"/>
    </row>
    <row r="107" ht="46.65" customHeight="1">
      <c r="AG107" t="s" s="11">
        <v>17</v>
      </c>
      <c r="AH107" s="18"/>
      <c r="AI107" s="19"/>
      <c r="AJ107" s="19"/>
      <c r="AK107" s="19"/>
      <c r="AL107" s="19"/>
      <c r="AM107" s="19"/>
      <c r="AN107" s="24" cm="1">
        <f t="array" ref="AN107">SUM(AH107:AM107)</f>
        <v>0</v>
      </c>
      <c r="AO107" s="19"/>
    </row>
    <row r="108" ht="29.2" customHeight="1">
      <c r="AG108" t="s" s="11">
        <v>18</v>
      </c>
      <c r="AH108" s="12">
        <v>1</v>
      </c>
      <c r="AI108" s="24">
        <v>1</v>
      </c>
      <c r="AJ108" s="24">
        <v>1</v>
      </c>
      <c r="AK108" s="19"/>
      <c r="AL108" s="19"/>
      <c r="AM108" s="19"/>
      <c r="AN108" s="24" cm="1">
        <f t="array" ref="AN108">SUM(AH108:AM108)</f>
        <v>3</v>
      </c>
      <c r="AO108" s="19"/>
    </row>
    <row r="109" ht="29.2" customHeight="1">
      <c r="AG109" t="s" s="11">
        <v>19</v>
      </c>
      <c r="AH109" s="12">
        <v>1</v>
      </c>
      <c r="AI109" s="19"/>
      <c r="AJ109" s="19"/>
      <c r="AK109" s="19"/>
      <c r="AL109" s="19"/>
      <c r="AM109" s="19"/>
      <c r="AN109" s="24" cm="1">
        <f t="array" ref="AN109">SUM(AH109:AM109)</f>
        <v>1</v>
      </c>
      <c r="AO109" s="19"/>
    </row>
    <row r="110" ht="29.2" customHeight="1">
      <c r="AG110" t="s" s="11">
        <v>20</v>
      </c>
      <c r="AH110" s="12">
        <v>1</v>
      </c>
      <c r="AI110" s="19"/>
      <c r="AJ110" s="19"/>
      <c r="AK110" s="19"/>
      <c r="AL110" s="19"/>
      <c r="AM110" s="19"/>
      <c r="AN110" s="24" cm="1">
        <f t="array" ref="AN110">SUM(AH110:AM110)</f>
        <v>1</v>
      </c>
      <c r="AO110" s="19"/>
    </row>
    <row r="111" ht="29.2" customHeight="1">
      <c r="AG111" t="s" s="11">
        <v>21</v>
      </c>
      <c r="AH111" s="18"/>
      <c r="AI111" s="19"/>
      <c r="AJ111" s="19"/>
      <c r="AK111" s="19"/>
      <c r="AL111" s="19"/>
      <c r="AM111" s="19"/>
      <c r="AN111" s="24" cm="1">
        <f t="array" ref="AN111">SUM(AH111:AM111)</f>
        <v>0</v>
      </c>
      <c r="AO111" s="19"/>
    </row>
    <row r="112" ht="29.2" customHeight="1">
      <c r="AG112" t="s" s="11">
        <v>22</v>
      </c>
      <c r="AH112" s="12">
        <v>1</v>
      </c>
      <c r="AI112" s="24">
        <v>1</v>
      </c>
      <c r="AJ112" s="19"/>
      <c r="AK112" s="19"/>
      <c r="AL112" s="24">
        <v>1</v>
      </c>
      <c r="AM112" s="19"/>
      <c r="AN112" s="24" cm="1">
        <f t="array" ref="AN112">SUM(AH112:AM112)</f>
        <v>3</v>
      </c>
      <c r="AO112" s="19"/>
    </row>
    <row r="113" ht="29.2" customHeight="1">
      <c r="AG113" t="s" s="11">
        <v>27</v>
      </c>
      <c r="AH113" s="12">
        <v>1</v>
      </c>
      <c r="AI113" s="19"/>
      <c r="AJ113" s="24">
        <v>1</v>
      </c>
      <c r="AK113" s="24">
        <v>1</v>
      </c>
      <c r="AL113" s="24">
        <v>1</v>
      </c>
      <c r="AM113" s="19"/>
      <c r="AN113" s="24" cm="1">
        <f t="array" ref="AN113">SUM(AH113:AM113)</f>
        <v>4</v>
      </c>
      <c r="AO113" s="19"/>
    </row>
    <row r="114" ht="29.2" customHeight="1">
      <c r="AG114" t="s" s="11">
        <v>42</v>
      </c>
      <c r="AH114" s="18"/>
      <c r="AI114" s="19"/>
      <c r="AJ114" s="19"/>
      <c r="AK114" s="19"/>
      <c r="AL114" s="19"/>
      <c r="AM114" s="19"/>
      <c r="AN114" s="24" cm="1">
        <f t="array" ref="AN114">SUM(AH114:AM114)</f>
        <v>0</v>
      </c>
      <c r="AO114" s="19"/>
    </row>
    <row r="115" ht="29.2" customHeight="1">
      <c r="AG115" t="s" s="11">
        <v>43</v>
      </c>
      <c r="AH115" s="12">
        <v>1</v>
      </c>
      <c r="AI115" s="19"/>
      <c r="AJ115" s="19"/>
      <c r="AK115" s="19"/>
      <c r="AL115" s="19"/>
      <c r="AM115" s="19"/>
      <c r="AN115" s="24" cm="1">
        <f t="array" ref="AN115">SUM(AH115:AM115)</f>
        <v>1</v>
      </c>
      <c r="AO115" s="19"/>
    </row>
    <row r="116" ht="29.2" customHeight="1">
      <c r="AG116" t="s" s="11">
        <v>41</v>
      </c>
      <c r="AH116" s="12">
        <v>1</v>
      </c>
      <c r="AI116" s="19"/>
      <c r="AJ116" s="19"/>
      <c r="AK116" s="19"/>
      <c r="AL116" s="19"/>
      <c r="AM116" s="19"/>
      <c r="AN116" s="24" cm="1">
        <f t="array" ref="AN116">SUM(AH116:AM116)</f>
        <v>1</v>
      </c>
      <c r="AO116" s="19"/>
    </row>
    <row r="117" ht="29.2" customHeight="1">
      <c r="AG117" t="s" s="11">
        <v>32</v>
      </c>
      <c r="AH117" s="18"/>
      <c r="AI117" s="19"/>
      <c r="AJ117" s="19"/>
      <c r="AK117" s="19"/>
      <c r="AL117" s="19"/>
      <c r="AM117" s="19"/>
      <c r="AN117" s="24" cm="1">
        <f t="array" ref="AN117">SUM(AH117:AM117)</f>
        <v>0</v>
      </c>
      <c r="AO117" s="19"/>
    </row>
    <row r="118" ht="29.2" customHeight="1">
      <c r="AG118" t="s" s="44">
        <v>73</v>
      </c>
      <c r="AH118" s="18"/>
      <c r="AI118" s="19"/>
      <c r="AJ118" s="24">
        <v>1</v>
      </c>
      <c r="AK118" s="19"/>
      <c r="AL118" s="19"/>
      <c r="AM118" s="19"/>
      <c r="AN118" s="24" cm="1">
        <f t="array" ref="AN118">SUM(AH118:AM118)</f>
        <v>1</v>
      </c>
      <c r="AO118" s="19"/>
    </row>
    <row r="119" ht="29.2" customHeight="1">
      <c r="AG119" t="s" s="44">
        <v>70</v>
      </c>
      <c r="AH119" s="18"/>
      <c r="AI119" s="19"/>
      <c r="AJ119" s="24">
        <v>1</v>
      </c>
      <c r="AK119" s="19"/>
      <c r="AL119" s="19"/>
      <c r="AM119" s="19"/>
      <c r="AN119" s="24" cm="1">
        <f t="array" ref="AN119">SUM(AH119:AM119)</f>
        <v>1</v>
      </c>
      <c r="AO119" s="48"/>
    </row>
    <row r="120" ht="29.2" customHeight="1">
      <c r="AG120" t="s" s="44">
        <v>58</v>
      </c>
      <c r="AH120" s="18"/>
      <c r="AI120" s="19"/>
      <c r="AJ120" s="24">
        <v>1</v>
      </c>
      <c r="AK120" s="19"/>
      <c r="AL120" s="19"/>
      <c r="AM120" s="19"/>
      <c r="AN120" s="24" cm="1">
        <f t="array" ref="AN120">SUM(AH120:AM120)</f>
        <v>1</v>
      </c>
      <c r="AO120" s="48"/>
    </row>
    <row r="121" ht="29.2" customHeight="1">
      <c r="AG121" t="s" s="44">
        <v>74</v>
      </c>
      <c r="AH121" s="18"/>
      <c r="AI121" s="19"/>
      <c r="AJ121" s="24">
        <v>1</v>
      </c>
      <c r="AK121" s="19"/>
      <c r="AL121" s="19"/>
      <c r="AM121" s="19"/>
      <c r="AN121" s="24" cm="1">
        <f t="array" ref="AN121">SUM(AH121:AM121)</f>
        <v>1</v>
      </c>
      <c r="AO121" s="48"/>
    </row>
    <row r="122" ht="29.2" customHeight="1">
      <c r="AG122" t="s" s="44">
        <v>75</v>
      </c>
      <c r="AH122" s="18"/>
      <c r="AI122" s="19"/>
      <c r="AJ122" s="19"/>
      <c r="AK122" s="19"/>
      <c r="AL122" s="24">
        <v>1</v>
      </c>
      <c r="AM122" s="19"/>
      <c r="AN122" s="24" cm="1">
        <f t="array" ref="AN122">SUM(AH122:AM122)</f>
        <v>1</v>
      </c>
      <c r="AO122" s="19"/>
    </row>
    <row r="123" ht="29.2" customHeight="1">
      <c r="AG123" t="s" s="49">
        <v>30</v>
      </c>
      <c r="AH123" s="12" cm="1">
        <f t="array" ref="AH123">SUM(AH102:AH122)</f>
        <v>10</v>
      </c>
      <c r="AI123" s="24" cm="1">
        <f t="array" ref="AI123">SUM(AI102:AI122)</f>
        <v>3</v>
      </c>
      <c r="AJ123" s="24" cm="1">
        <f t="array" ref="AJ123">SUM(AJ102:AJ122)</f>
        <v>8</v>
      </c>
      <c r="AK123" s="24" cm="1">
        <f t="array" ref="AK123">SUM(AK102:AK122)</f>
        <v>2</v>
      </c>
      <c r="AL123" s="24" cm="1">
        <f t="array" ref="AL123">SUM(AL102:AL122)</f>
        <v>6</v>
      </c>
      <c r="AM123" s="24" cm="1">
        <f t="array" ref="AM123">SUM(AM102:AM122)</f>
        <v>0</v>
      </c>
      <c r="AN123" t="s" s="14">
        <v>25</v>
      </c>
      <c r="AO123" s="19"/>
    </row>
    <row r="125" ht="27.65" customHeight="1">
      <c r="AP125" t="s" s="2">
        <v>76</v>
      </c>
      <c r="AQ125" s="2"/>
      <c r="AR125" s="2"/>
      <c r="AS125" s="2"/>
      <c r="AT125" s="2"/>
      <c r="AU125" s="2"/>
      <c r="AV125" s="2"/>
      <c r="AW125" s="2"/>
      <c r="AX125" s="2"/>
    </row>
    <row r="126" ht="34.85" customHeight="1">
      <c r="AP126" s="35"/>
      <c r="AQ126" t="s" s="3">
        <v>77</v>
      </c>
      <c r="AR126" t="s" s="3">
        <v>78</v>
      </c>
      <c r="AS126" t="s" s="3">
        <v>79</v>
      </c>
      <c r="AT126" t="s" s="3">
        <v>80</v>
      </c>
      <c r="AU126" t="s" s="3">
        <v>81</v>
      </c>
      <c r="AV126" t="s" s="3">
        <v>82</v>
      </c>
      <c r="AW126" t="s" s="3">
        <v>53</v>
      </c>
      <c r="AX126" t="s" s="3">
        <v>67</v>
      </c>
    </row>
    <row r="127" ht="21.9" customHeight="1">
      <c r="AP127" t="s" s="6">
        <v>55</v>
      </c>
      <c r="AQ127" s="46"/>
      <c r="AR127" s="37"/>
      <c r="AS127" s="37"/>
      <c r="AT127" s="37"/>
      <c r="AU127" s="37"/>
      <c r="AV127" s="37"/>
      <c r="AW127" s="47" cm="1">
        <f t="array" ref="AW127">SUM(AQ127:AV127)</f>
        <v>0</v>
      </c>
      <c r="AX127" s="37"/>
    </row>
    <row r="128" ht="21.65" customHeight="1">
      <c r="AP128" t="s" s="11">
        <v>56</v>
      </c>
      <c r="AQ128" s="18"/>
      <c r="AR128" s="19"/>
      <c r="AS128" s="19"/>
      <c r="AT128" s="19"/>
      <c r="AU128" s="19"/>
      <c r="AV128" s="19"/>
      <c r="AW128" s="24" cm="1">
        <f t="array" ref="AW128">SUM(AQ128:AV128)</f>
        <v>0</v>
      </c>
      <c r="AX128" s="19"/>
    </row>
    <row r="129" ht="21.65" customHeight="1">
      <c r="AP129" t="s" s="11">
        <v>10</v>
      </c>
      <c r="AQ129" s="18"/>
      <c r="AR129" s="51">
        <v>1</v>
      </c>
      <c r="AS129" s="19"/>
      <c r="AT129" s="19"/>
      <c r="AU129" s="19"/>
      <c r="AV129" s="19"/>
      <c r="AW129" s="24" cm="1">
        <f t="array" ref="AW129">SUM(AQ129:AV129)</f>
        <v>1</v>
      </c>
      <c r="AX129" s="19"/>
    </row>
    <row r="130" ht="21.65" customHeight="1">
      <c r="AP130" t="s" s="11">
        <v>35</v>
      </c>
      <c r="AQ130" s="18"/>
      <c r="AR130" s="19"/>
      <c r="AS130" s="19"/>
      <c r="AT130" s="19"/>
      <c r="AU130" s="19"/>
      <c r="AV130" s="19"/>
      <c r="AW130" s="24" cm="1">
        <f t="array" ref="AW130">SUM(AQ130:AV130)</f>
        <v>0</v>
      </c>
      <c r="AX130" s="19"/>
    </row>
    <row r="131" ht="21.65" customHeight="1">
      <c r="AP131" t="s" s="11">
        <v>16</v>
      </c>
      <c r="AQ131" s="18"/>
      <c r="AR131" s="19"/>
      <c r="AS131" s="19"/>
      <c r="AT131" s="19"/>
      <c r="AU131" s="19"/>
      <c r="AV131" s="19"/>
      <c r="AW131" s="24" cm="1">
        <f t="array" ref="AW131">SUM(AQ131:AV131)</f>
        <v>0</v>
      </c>
      <c r="AX131" s="19"/>
    </row>
    <row r="132" ht="21.65" customHeight="1">
      <c r="AP132" t="s" s="11">
        <v>17</v>
      </c>
      <c r="AQ132" s="18"/>
      <c r="AR132" s="19"/>
      <c r="AS132" s="19"/>
      <c r="AT132" s="19"/>
      <c r="AU132" s="19"/>
      <c r="AV132" s="19"/>
      <c r="AW132" s="24" cm="1">
        <f t="array" ref="AW132">SUM(AQ132:AV132)</f>
        <v>0</v>
      </c>
      <c r="AX132" s="19"/>
    </row>
    <row r="133" ht="21.65" customHeight="1">
      <c r="AP133" t="s" s="11">
        <v>18</v>
      </c>
      <c r="AQ133" s="18"/>
      <c r="AR133" s="19"/>
      <c r="AS133" s="19"/>
      <c r="AT133" s="19"/>
      <c r="AU133" s="19"/>
      <c r="AV133" s="19"/>
      <c r="AW133" s="24" cm="1">
        <f t="array" ref="AW133">SUM(AQ133:AV133)</f>
        <v>0</v>
      </c>
      <c r="AX133" s="19"/>
    </row>
    <row r="134" ht="21.65" customHeight="1">
      <c r="AP134" t="s" s="11">
        <v>19</v>
      </c>
      <c r="AQ134" s="18"/>
      <c r="AR134" s="19"/>
      <c r="AS134" s="19"/>
      <c r="AT134" s="19"/>
      <c r="AU134" s="19"/>
      <c r="AV134" s="19"/>
      <c r="AW134" s="24" cm="1">
        <f t="array" ref="AW134">SUM(AQ134:AV134)</f>
        <v>0</v>
      </c>
      <c r="AX134" s="19"/>
    </row>
    <row r="135" ht="21.65" customHeight="1">
      <c r="AP135" t="s" s="11">
        <v>20</v>
      </c>
      <c r="AQ135" s="52">
        <v>1</v>
      </c>
      <c r="AR135" s="19"/>
      <c r="AS135" s="19"/>
      <c r="AT135" s="19"/>
      <c r="AU135" s="19"/>
      <c r="AV135" s="19"/>
      <c r="AW135" s="24" cm="1">
        <f t="array" ref="AW135">SUM(AQ135:AV135)</f>
        <v>1</v>
      </c>
      <c r="AX135" s="19"/>
    </row>
    <row r="136" ht="21.65" customHeight="1">
      <c r="AP136" t="s" s="11">
        <v>21</v>
      </c>
      <c r="AQ136" s="18"/>
      <c r="AR136" s="19"/>
      <c r="AS136" s="19"/>
      <c r="AT136" s="19"/>
      <c r="AU136" s="19"/>
      <c r="AV136" s="19"/>
      <c r="AW136" s="24" cm="1">
        <f t="array" ref="AW136">SUM(AQ136:AV136)</f>
        <v>0</v>
      </c>
      <c r="AX136" s="19"/>
    </row>
    <row r="137" ht="21.65" customHeight="1">
      <c r="AP137" t="s" s="11">
        <v>22</v>
      </c>
      <c r="AQ137" s="53">
        <v>1</v>
      </c>
      <c r="AR137" s="51">
        <v>1</v>
      </c>
      <c r="AS137" s="19"/>
      <c r="AT137" s="19"/>
      <c r="AU137" s="19"/>
      <c r="AV137" s="19"/>
      <c r="AW137" s="24" cm="1">
        <f t="array" ref="AW137">SUM(AQ137:AV137)</f>
        <v>2</v>
      </c>
      <c r="AX137" s="19"/>
    </row>
    <row r="138" ht="21.65" customHeight="1">
      <c r="AP138" t="s" s="11">
        <v>27</v>
      </c>
      <c r="AQ138" s="52">
        <v>1</v>
      </c>
      <c r="AR138" s="19"/>
      <c r="AS138" s="19"/>
      <c r="AT138" s="19"/>
      <c r="AU138" s="19"/>
      <c r="AV138" s="19"/>
      <c r="AW138" s="24" cm="1">
        <f t="array" ref="AW138">SUM(AQ138:AV138)</f>
        <v>1</v>
      </c>
      <c r="AX138" s="19"/>
    </row>
    <row r="139" ht="21.65" customHeight="1">
      <c r="AP139" t="s" s="11">
        <v>42</v>
      </c>
      <c r="AQ139" s="18"/>
      <c r="AR139" s="19"/>
      <c r="AS139" s="19"/>
      <c r="AT139" s="19"/>
      <c r="AU139" s="19"/>
      <c r="AV139" s="19"/>
      <c r="AW139" s="24" cm="1">
        <f t="array" ref="AW139">SUM(AQ139:AV139)</f>
        <v>0</v>
      </c>
      <c r="AX139" s="19"/>
    </row>
    <row r="140" ht="21.65" customHeight="1">
      <c r="AP140" t="s" s="11">
        <v>43</v>
      </c>
      <c r="AQ140" s="18"/>
      <c r="AR140" s="19"/>
      <c r="AS140" s="19"/>
      <c r="AT140" s="19"/>
      <c r="AU140" s="19"/>
      <c r="AV140" s="19"/>
      <c r="AW140" s="24" cm="1">
        <f t="array" ref="AW140">SUM(AQ140:AV140)</f>
        <v>0</v>
      </c>
      <c r="AX140" s="19"/>
    </row>
    <row r="141" ht="21.65" customHeight="1">
      <c r="AP141" t="s" s="11">
        <v>41</v>
      </c>
      <c r="AQ141" s="18"/>
      <c r="AR141" s="19"/>
      <c r="AS141" s="19"/>
      <c r="AT141" s="19"/>
      <c r="AU141" s="19"/>
      <c r="AV141" s="19"/>
      <c r="AW141" s="24" cm="1">
        <f t="array" ref="AW141">SUM(AQ141:AV141)</f>
        <v>0</v>
      </c>
      <c r="AX141" s="19"/>
    </row>
    <row r="142" ht="21.65" customHeight="1">
      <c r="AP142" t="s" s="11">
        <v>32</v>
      </c>
      <c r="AQ142" s="52">
        <v>1</v>
      </c>
      <c r="AR142" s="19"/>
      <c r="AS142" s="19"/>
      <c r="AT142" s="19"/>
      <c r="AU142" s="19"/>
      <c r="AV142" s="19"/>
      <c r="AW142" s="24" cm="1">
        <f t="array" ref="AW142">SUM(AQ142:AV142)</f>
        <v>1</v>
      </c>
      <c r="AX142" s="19"/>
    </row>
    <row r="143" ht="21.65" customHeight="1">
      <c r="AP143" t="s" s="32">
        <v>50</v>
      </c>
      <c r="AQ143" s="18"/>
      <c r="AR143" s="19"/>
      <c r="AS143" s="19"/>
      <c r="AT143" s="19"/>
      <c r="AU143" s="54">
        <v>1</v>
      </c>
      <c r="AV143" s="19"/>
      <c r="AW143" s="24" cm="1">
        <f t="array" ref="AW143">SUM(AQ143:AV143)</f>
        <v>1</v>
      </c>
      <c r="AX143" s="19"/>
    </row>
    <row r="144" ht="26.05" customHeight="1">
      <c r="AP144" t="s" s="32">
        <v>52</v>
      </c>
      <c r="AQ144" s="55"/>
      <c r="AR144" s="48"/>
      <c r="AS144" s="48"/>
      <c r="AT144" s="48"/>
      <c r="AU144" s="54">
        <v>1</v>
      </c>
      <c r="AV144" s="48"/>
      <c r="AW144" s="24" cm="1">
        <f t="array" ref="AW144">SUM(AQ144:AV144)</f>
        <v>1</v>
      </c>
      <c r="AX144" s="48"/>
    </row>
    <row r="145" ht="34.6" customHeight="1">
      <c r="AP145" t="s" s="32">
        <v>51</v>
      </c>
      <c r="AQ145" s="55"/>
      <c r="AR145" s="48"/>
      <c r="AS145" s="48"/>
      <c r="AT145" s="48"/>
      <c r="AU145" s="54">
        <v>1</v>
      </c>
      <c r="AV145" s="48"/>
      <c r="AW145" s="24" cm="1">
        <f t="array" ref="AW145">SUM(AQ145:AV145)</f>
        <v>1</v>
      </c>
      <c r="AX145" s="48"/>
    </row>
    <row r="146" ht="21.65" customHeight="1">
      <c r="AP146" t="s" s="44">
        <v>70</v>
      </c>
      <c r="AQ146" s="18"/>
      <c r="AR146" s="19"/>
      <c r="AS146" s="19"/>
      <c r="AT146" s="19"/>
      <c r="AU146" s="19"/>
      <c r="AV146" s="19"/>
      <c r="AW146" s="24" cm="1">
        <f t="array" ref="AW146">SUM(AQ146:AV146)</f>
        <v>0</v>
      </c>
      <c r="AX146" s="19"/>
    </row>
    <row r="147" ht="21.65" customHeight="1">
      <c r="AP147" t="s" s="44">
        <v>58</v>
      </c>
      <c r="AQ147" s="18"/>
      <c r="AR147" s="19"/>
      <c r="AS147" s="19"/>
      <c r="AT147" s="19"/>
      <c r="AU147" s="19"/>
      <c r="AV147" s="19"/>
      <c r="AW147" s="24" cm="1">
        <f t="array" ref="AW147">SUM(AQ147:AV147)</f>
        <v>0</v>
      </c>
      <c r="AX147" s="19"/>
    </row>
    <row r="148" ht="21.65" customHeight="1">
      <c r="AP148" t="s" s="44">
        <v>71</v>
      </c>
      <c r="AQ148" s="18"/>
      <c r="AR148" s="19"/>
      <c r="AS148" s="19"/>
      <c r="AT148" s="19"/>
      <c r="AU148" s="19"/>
      <c r="AV148" s="19"/>
      <c r="AW148" s="24" cm="1">
        <f t="array" ref="AW148">SUM(AQ148:AV148)</f>
        <v>0</v>
      </c>
      <c r="AX148" s="19"/>
    </row>
    <row r="149" ht="21.65" customHeight="1">
      <c r="AP149" t="s" s="44">
        <v>45</v>
      </c>
      <c r="AQ149" s="52">
        <v>1</v>
      </c>
      <c r="AR149" s="19"/>
      <c r="AS149" s="19"/>
      <c r="AT149" s="19"/>
      <c r="AU149" s="54">
        <v>1</v>
      </c>
      <c r="AV149" s="19"/>
      <c r="AW149" s="24" cm="1">
        <f t="array" ref="AW149">SUM(AQ149:AV149)</f>
        <v>2</v>
      </c>
      <c r="AX149" s="19"/>
    </row>
    <row r="150" ht="34.6" customHeight="1">
      <c r="AP150" t="s" s="44">
        <v>46</v>
      </c>
      <c r="AQ150" s="52">
        <v>1</v>
      </c>
      <c r="AR150" s="19"/>
      <c r="AS150" s="19"/>
      <c r="AT150" s="19"/>
      <c r="AU150" s="54">
        <v>1</v>
      </c>
      <c r="AV150" s="19"/>
      <c r="AW150" s="24" cm="1">
        <f t="array" ref="AW150">SUM(AQ150:AV150)</f>
        <v>2</v>
      </c>
      <c r="AX150" s="19"/>
    </row>
    <row r="151" ht="34.6" customHeight="1">
      <c r="AP151" t="s" s="44">
        <v>47</v>
      </c>
      <c r="AQ151" s="56">
        <v>1</v>
      </c>
      <c r="AR151" s="19"/>
      <c r="AS151" s="54">
        <v>1</v>
      </c>
      <c r="AT151" s="19"/>
      <c r="AU151" s="48"/>
      <c r="AV151" s="19"/>
      <c r="AW151" s="54" cm="1">
        <f t="array" ref="AW151">AS151</f>
        <v>1</v>
      </c>
      <c r="AX151" s="54">
        <v>8</v>
      </c>
    </row>
    <row r="152" ht="21.65" customHeight="1">
      <c r="AP152" t="s" s="44">
        <v>48</v>
      </c>
      <c r="AQ152" s="57">
        <v>1</v>
      </c>
      <c r="AR152" s="19"/>
      <c r="AS152" s="58">
        <v>1</v>
      </c>
      <c r="AT152" s="19"/>
      <c r="AU152" s="19"/>
      <c r="AV152" s="19"/>
      <c r="AW152" s="54" cm="1">
        <f t="array" ref="AW152">SUM(AQ152:AV152)</f>
        <v>2</v>
      </c>
      <c r="AX152" s="54">
        <v>4</v>
      </c>
    </row>
    <row r="153" ht="21.65" customHeight="1">
      <c r="AP153" t="s" s="44">
        <v>49</v>
      </c>
      <c r="AQ153" s="57">
        <v>1</v>
      </c>
      <c r="AR153" s="19"/>
      <c r="AS153" s="58">
        <v>1</v>
      </c>
      <c r="AT153" s="19"/>
      <c r="AU153" s="19"/>
      <c r="AV153" s="19"/>
      <c r="AW153" s="54" cm="1">
        <f t="array" ref="AW153">SUM(AQ153:AV153)</f>
        <v>2</v>
      </c>
      <c r="AX153" s="54">
        <v>4</v>
      </c>
    </row>
    <row r="154" ht="21.65" customHeight="1">
      <c r="AP154" t="s" s="49">
        <v>30</v>
      </c>
      <c r="AQ154" s="12" cm="1">
        <f t="array" ref="AQ154">SUM(AQ128:AQ153)</f>
        <v>9</v>
      </c>
      <c r="AR154" s="24" cm="1">
        <f t="array" ref="AR154">SUM(AR128:AR153)</f>
        <v>2</v>
      </c>
      <c r="AS154" s="24" cm="1">
        <f t="array" ref="AS154">SUM(AS128:AS153)</f>
        <v>3</v>
      </c>
      <c r="AT154" s="24" cm="1">
        <f t="array" ref="AT154">SUM(AT128:AT153)</f>
        <v>0</v>
      </c>
      <c r="AU154" s="24" cm="1">
        <f t="array" ref="AU154">SUM(AU128:AU153)</f>
        <v>5</v>
      </c>
      <c r="AV154" s="24" cm="1">
        <f t="array" ref="AV154">SUM(AV128:AV153)</f>
        <v>0</v>
      </c>
      <c r="AW154" t="s" s="59">
        <v>25</v>
      </c>
      <c r="AX154" s="48"/>
    </row>
    <row r="156" ht="27.65" customHeight="1">
      <c r="AY156" t="s" s="2">
        <v>83</v>
      </c>
      <c r="AZ156" s="2"/>
      <c r="BA156" s="2"/>
      <c r="BB156" s="2"/>
      <c r="BC156" s="2"/>
      <c r="BD156" s="2"/>
      <c r="BE156" s="2"/>
      <c r="BF156" s="2"/>
      <c r="BG156" s="2"/>
      <c r="BH156" s="2"/>
    </row>
    <row r="157" ht="36.15" customHeight="1">
      <c r="AY157" s="35"/>
      <c r="AZ157" t="s" s="3">
        <v>77</v>
      </c>
      <c r="BA157" t="s" s="3">
        <v>78</v>
      </c>
      <c r="BB157" t="s" s="3">
        <v>79</v>
      </c>
      <c r="BC157" t="s" s="3">
        <v>80</v>
      </c>
      <c r="BD157" t="s" s="3">
        <v>81</v>
      </c>
      <c r="BE157" t="s" s="3">
        <v>82</v>
      </c>
      <c r="BF157" t="s" s="3">
        <v>67</v>
      </c>
      <c r="BG157" t="s" s="3">
        <v>68</v>
      </c>
      <c r="BH157" t="s" s="3">
        <v>69</v>
      </c>
    </row>
    <row r="158" ht="22.75" customHeight="1">
      <c r="AY158" t="s" s="61">
        <v>55</v>
      </c>
      <c r="AZ158" s="62"/>
      <c r="BA158" s="43"/>
      <c r="BB158" s="43"/>
      <c r="BC158" s="43"/>
      <c r="BD158" s="43"/>
      <c r="BE158" s="43"/>
      <c r="BF158" s="63"/>
      <c r="BG158" s="37"/>
      <c r="BH158" s="37"/>
    </row>
    <row r="159" ht="22.5" customHeight="1">
      <c r="AY159" t="s" s="64">
        <v>56</v>
      </c>
      <c r="AZ159" s="20"/>
      <c r="BA159" s="27"/>
      <c r="BB159" s="27"/>
      <c r="BC159" s="27"/>
      <c r="BD159" s="27"/>
      <c r="BE159" s="27"/>
      <c r="BF159" s="65"/>
      <c r="BG159" s="19"/>
      <c r="BH159" s="19"/>
    </row>
    <row r="160" ht="22.5" customHeight="1">
      <c r="AY160" t="s" s="64">
        <v>10</v>
      </c>
      <c r="AZ160" s="20"/>
      <c r="BA160" s="27"/>
      <c r="BB160" s="27"/>
      <c r="BC160" s="27"/>
      <c r="BD160" s="27"/>
      <c r="BE160" s="27"/>
      <c r="BF160" s="65"/>
      <c r="BG160" s="19"/>
      <c r="BH160" s="19"/>
    </row>
    <row r="161" ht="22.5" customHeight="1">
      <c r="AY161" t="s" s="64">
        <v>35</v>
      </c>
      <c r="AZ161" s="20"/>
      <c r="BA161" s="27"/>
      <c r="BB161" s="27"/>
      <c r="BC161" s="27"/>
      <c r="BD161" s="27"/>
      <c r="BE161" s="27"/>
      <c r="BF161" s="65"/>
      <c r="BG161" s="19"/>
      <c r="BH161" s="19"/>
    </row>
    <row r="162" ht="22.5" customHeight="1">
      <c r="AY162" t="s" s="64">
        <v>16</v>
      </c>
      <c r="AZ162" s="20"/>
      <c r="BA162" s="27"/>
      <c r="BB162" s="27"/>
      <c r="BC162" s="27"/>
      <c r="BD162" s="27"/>
      <c r="BE162" s="27"/>
      <c r="BF162" s="65"/>
      <c r="BG162" s="19"/>
      <c r="BH162" s="19"/>
    </row>
    <row r="163" ht="35.95" customHeight="1">
      <c r="AY163" t="s" s="64">
        <v>17</v>
      </c>
      <c r="AZ163" s="20"/>
      <c r="BA163" s="27"/>
      <c r="BB163" s="27"/>
      <c r="BC163" s="27"/>
      <c r="BD163" s="27"/>
      <c r="BE163" s="27"/>
      <c r="BF163" s="65"/>
      <c r="BG163" s="19"/>
      <c r="BH163" s="19"/>
    </row>
    <row r="164" ht="22.5" customHeight="1">
      <c r="AY164" t="s" s="64">
        <v>18</v>
      </c>
      <c r="AZ164" s="20"/>
      <c r="BA164" s="27"/>
      <c r="BB164" s="27"/>
      <c r="BC164" s="27"/>
      <c r="BD164" s="27"/>
      <c r="BE164" s="27"/>
      <c r="BF164" s="65"/>
      <c r="BG164" s="19"/>
      <c r="BH164" s="19"/>
    </row>
    <row r="165" ht="22.5" customHeight="1">
      <c r="AY165" t="s" s="64">
        <v>19</v>
      </c>
      <c r="AZ165" s="20"/>
      <c r="BA165" s="27"/>
      <c r="BB165" s="27"/>
      <c r="BC165" s="27"/>
      <c r="BD165" s="27"/>
      <c r="BE165" s="27"/>
      <c r="BF165" s="65"/>
      <c r="BG165" s="19"/>
      <c r="BH165" s="19"/>
    </row>
    <row r="166" ht="22.5" customHeight="1">
      <c r="AY166" t="s" s="64">
        <v>20</v>
      </c>
      <c r="AZ166" s="20"/>
      <c r="BA166" s="27"/>
      <c r="BB166" s="27"/>
      <c r="BC166" s="27"/>
      <c r="BD166" s="27"/>
      <c r="BE166" s="27"/>
      <c r="BF166" s="65"/>
      <c r="BG166" s="19"/>
      <c r="BH166" s="19"/>
    </row>
    <row r="167" ht="22.5" customHeight="1">
      <c r="AY167" t="s" s="64">
        <v>21</v>
      </c>
      <c r="AZ167" s="20"/>
      <c r="BA167" s="27"/>
      <c r="BB167" s="27"/>
      <c r="BC167" s="27"/>
      <c r="BD167" s="27"/>
      <c r="BE167" s="27"/>
      <c r="BF167" s="65"/>
      <c r="BG167" s="19"/>
      <c r="BH167" s="19"/>
    </row>
    <row r="168" ht="22.5" customHeight="1">
      <c r="AY168" t="s" s="64">
        <v>22</v>
      </c>
      <c r="AZ168" s="20"/>
      <c r="BA168" s="27"/>
      <c r="BB168" s="27"/>
      <c r="BC168" s="27"/>
      <c r="BD168" s="27"/>
      <c r="BE168" s="27"/>
      <c r="BF168" s="65"/>
      <c r="BG168" s="19"/>
      <c r="BH168" s="19"/>
    </row>
    <row r="169" ht="22.5" customHeight="1">
      <c r="AY169" t="s" s="64">
        <v>27</v>
      </c>
      <c r="AZ169" s="20"/>
      <c r="BA169" s="27"/>
      <c r="BB169" s="27"/>
      <c r="BC169" s="27"/>
      <c r="BD169" s="27"/>
      <c r="BE169" s="27"/>
      <c r="BF169" s="65"/>
      <c r="BG169" s="19"/>
      <c r="BH169" s="19"/>
    </row>
    <row r="170" ht="22.5" customHeight="1">
      <c r="AY170" t="s" s="11">
        <v>42</v>
      </c>
      <c r="AZ170" s="18"/>
      <c r="BA170" s="19"/>
      <c r="BB170" s="19"/>
      <c r="BC170" s="19"/>
      <c r="BD170" s="19"/>
      <c r="BE170" s="19"/>
      <c r="BF170" s="19"/>
      <c r="BG170" s="19"/>
      <c r="BH170" s="19"/>
    </row>
    <row r="171" ht="22.5" customHeight="1">
      <c r="AY171" t="s" s="11">
        <v>43</v>
      </c>
      <c r="AZ171" s="18"/>
      <c r="BA171" s="19"/>
      <c r="BB171" s="19"/>
      <c r="BC171" s="19"/>
      <c r="BD171" s="19"/>
      <c r="BE171" s="19"/>
      <c r="BF171" s="19"/>
      <c r="BG171" s="19"/>
      <c r="BH171" s="19"/>
    </row>
    <row r="172" ht="22.5" customHeight="1">
      <c r="AY172" t="s" s="11">
        <v>41</v>
      </c>
      <c r="AZ172" s="18"/>
      <c r="BA172" s="19"/>
      <c r="BB172" s="19"/>
      <c r="BC172" s="19"/>
      <c r="BD172" s="19"/>
      <c r="BE172" s="19"/>
      <c r="BF172" s="19"/>
      <c r="BG172" s="19"/>
      <c r="BH172" s="19"/>
    </row>
    <row r="173" ht="22.5" customHeight="1">
      <c r="AY173" t="s" s="11">
        <v>32</v>
      </c>
      <c r="AZ173" s="18"/>
      <c r="BA173" s="19"/>
      <c r="BB173" s="19"/>
      <c r="BC173" s="19"/>
      <c r="BD173" s="19"/>
      <c r="BE173" s="19"/>
      <c r="BF173" s="19"/>
      <c r="BG173" s="19"/>
      <c r="BH173" s="19"/>
    </row>
    <row r="174" ht="22.5" customHeight="1">
      <c r="AY174" s="17"/>
      <c r="AZ174" s="18"/>
      <c r="BA174" s="19"/>
      <c r="BB174" s="19"/>
      <c r="BC174" s="19"/>
      <c r="BD174" s="19"/>
      <c r="BE174" s="19"/>
      <c r="BF174" s="19"/>
      <c r="BG174" s="19"/>
      <c r="BH174" s="19"/>
    </row>
    <row r="175" ht="33.1" customHeight="1">
      <c r="AY175" t="s" s="64">
        <v>45</v>
      </c>
      <c r="AZ175" s="66"/>
      <c r="BA175" s="27"/>
      <c r="BB175" s="27"/>
      <c r="BC175" s="27"/>
      <c r="BD175" s="27"/>
      <c r="BE175" s="27"/>
      <c r="BF175" s="67"/>
      <c r="BG175" s="27"/>
      <c r="BH175" s="27"/>
    </row>
    <row r="176" ht="35.95" customHeight="1">
      <c r="AY176" t="s" s="64">
        <v>46</v>
      </c>
      <c r="AZ176" s="20"/>
      <c r="BA176" s="27"/>
      <c r="BB176" s="27"/>
      <c r="BC176" s="27"/>
      <c r="BD176" s="27"/>
      <c r="BE176" s="27"/>
      <c r="BF176" s="67"/>
      <c r="BG176" s="27"/>
      <c r="BH176" s="27"/>
    </row>
    <row r="177" ht="22.5" customHeight="1">
      <c r="AY177" t="s" s="21">
        <v>48</v>
      </c>
      <c r="AZ177" s="66"/>
      <c r="BA177" s="19"/>
      <c r="BB177" s="65"/>
      <c r="BC177" s="19"/>
      <c r="BD177" s="19"/>
      <c r="BE177" s="19"/>
      <c r="BF177" s="19"/>
      <c r="BG177" s="24">
        <v>2</v>
      </c>
      <c r="BH177" s="19"/>
    </row>
    <row r="178" ht="22.5" customHeight="1">
      <c r="AY178" t="s" s="21">
        <v>49</v>
      </c>
      <c r="AZ178" s="66"/>
      <c r="BA178" s="19"/>
      <c r="BB178" s="65"/>
      <c r="BC178" s="19"/>
      <c r="BD178" s="19"/>
      <c r="BE178" s="19"/>
      <c r="BF178" s="19"/>
      <c r="BG178" s="24">
        <v>2</v>
      </c>
      <c r="BH178" s="19"/>
    </row>
    <row r="179" ht="22.5" customHeight="1">
      <c r="AY179" t="s" s="64">
        <v>50</v>
      </c>
      <c r="AZ179" s="55"/>
      <c r="BA179" s="48"/>
      <c r="BB179" s="48"/>
      <c r="BC179" s="19"/>
      <c r="BD179" s="68"/>
      <c r="BE179" s="19"/>
      <c r="BF179" s="19"/>
      <c r="BG179" s="19"/>
      <c r="BH179" s="24">
        <v>1</v>
      </c>
    </row>
    <row r="180" ht="22.5" customHeight="1">
      <c r="AY180" t="s" s="64">
        <v>52</v>
      </c>
      <c r="AZ180" s="55"/>
      <c r="BA180" s="48"/>
      <c r="BB180" s="48"/>
      <c r="BC180" s="19"/>
      <c r="BD180" s="68"/>
      <c r="BE180" s="19"/>
      <c r="BF180" s="19"/>
      <c r="BG180" s="19"/>
      <c r="BH180" s="24">
        <v>1</v>
      </c>
    </row>
    <row r="181" ht="27.6" customHeight="1">
      <c r="AY181" t="s" s="64">
        <v>51</v>
      </c>
      <c r="AZ181" s="55"/>
      <c r="BA181" s="48"/>
      <c r="BB181" s="48"/>
      <c r="BC181" s="19"/>
      <c r="BD181" s="68"/>
      <c r="BE181" s="19"/>
      <c r="BF181" s="19"/>
      <c r="BG181" s="19"/>
      <c r="BH181" s="24">
        <v>1</v>
      </c>
    </row>
    <row r="182" ht="22.5" customHeight="1">
      <c r="AY182" t="s" s="69">
        <v>70</v>
      </c>
      <c r="AZ182" s="18"/>
      <c r="BA182" s="19"/>
      <c r="BB182" s="19"/>
      <c r="BC182" s="19"/>
      <c r="BD182" s="19"/>
      <c r="BE182" s="19"/>
      <c r="BF182" s="19"/>
      <c r="BG182" s="19"/>
      <c r="BH182" s="19"/>
    </row>
    <row r="183" ht="22.5" customHeight="1">
      <c r="AY183" t="s" s="69">
        <v>58</v>
      </c>
      <c r="AZ183" s="18"/>
      <c r="BA183" s="19"/>
      <c r="BB183" s="19"/>
      <c r="BC183" s="19"/>
      <c r="BD183" s="19"/>
      <c r="BE183" s="19"/>
      <c r="BF183" s="19"/>
      <c r="BG183" s="19"/>
      <c r="BH183" s="19"/>
    </row>
    <row r="184" ht="22.5" customHeight="1">
      <c r="AY184" t="s" s="69">
        <v>59</v>
      </c>
      <c r="AZ184" s="18"/>
      <c r="BA184" s="19"/>
      <c r="BB184" s="19"/>
      <c r="BC184" s="19"/>
      <c r="BD184" s="19"/>
      <c r="BE184" s="19"/>
      <c r="BF184" s="19"/>
      <c r="BG184" s="19"/>
      <c r="BH184" s="19"/>
    </row>
    <row r="185" ht="20.05" customHeight="1">
      <c r="AY185" t="s" s="49">
        <v>30</v>
      </c>
      <c r="AZ185" s="12" cm="1">
        <f t="array" ref="AZ185">SUM(AZ159:AZ184)</f>
        <v>0</v>
      </c>
      <c r="BA185" s="24" cm="1">
        <f t="array" ref="BA185">SUM(BA159:BA184)</f>
        <v>0</v>
      </c>
      <c r="BB185" s="24" cm="1">
        <f t="array" ref="BB185">SUM(BB159:BB184)</f>
        <v>0</v>
      </c>
      <c r="BC185" s="24" cm="1">
        <f t="array" ref="BC185">SUM(BC159:BC184)</f>
        <v>0</v>
      </c>
      <c r="BD185" s="24" cm="1">
        <f t="array" ref="BD185">SUM(BD159:BD184)</f>
        <v>0</v>
      </c>
      <c r="BE185" s="24" cm="1">
        <f t="array" ref="BE185">SUM(BE159:BE184)</f>
        <v>0</v>
      </c>
      <c r="BF185" t="s" s="14">
        <v>25</v>
      </c>
      <c r="BG185" s="24" cm="1">
        <f t="array" ref="BG185">SUM(BG159:BG184)</f>
        <v>4</v>
      </c>
      <c r="BH185" s="24" cm="1">
        <f t="array" ref="BH185">SUM(BH159:BH184)</f>
        <v>3</v>
      </c>
    </row>
    <row r="187" ht="27.65" customHeight="1">
      <c r="BI187" t="s" s="2">
        <v>84</v>
      </c>
      <c r="BJ187" s="2"/>
      <c r="BK187" s="2"/>
      <c r="BL187" s="2"/>
      <c r="BM187" s="2"/>
      <c r="BN187" s="2"/>
      <c r="BO187" s="2"/>
      <c r="BP187" s="2"/>
      <c r="BQ187" s="2"/>
    </row>
    <row r="188" ht="41" customHeight="1">
      <c r="BI188" s="35"/>
      <c r="BJ188" t="s" s="3">
        <v>85</v>
      </c>
      <c r="BK188" t="s" s="3">
        <v>86</v>
      </c>
      <c r="BL188" t="s" s="3">
        <v>87</v>
      </c>
      <c r="BM188" t="s" s="3">
        <v>88</v>
      </c>
      <c r="BN188" t="s" s="3">
        <v>89</v>
      </c>
      <c r="BO188" t="s" s="3">
        <v>90</v>
      </c>
      <c r="BP188" t="s" s="3">
        <v>53</v>
      </c>
      <c r="BQ188" t="s" s="3">
        <v>67</v>
      </c>
    </row>
    <row r="189" ht="25.8" customHeight="1">
      <c r="BI189" t="s" s="6">
        <v>55</v>
      </c>
      <c r="BJ189" s="46"/>
      <c r="BK189" s="71">
        <v>1</v>
      </c>
      <c r="BL189" s="37"/>
      <c r="BM189" s="71">
        <v>1</v>
      </c>
      <c r="BN189" s="72">
        <v>1</v>
      </c>
      <c r="BO189" s="37"/>
      <c r="BP189" s="47" cm="1">
        <f t="array" ref="BP189">SUM(BJ189:BO189)</f>
        <v>3</v>
      </c>
      <c r="BQ189" s="37"/>
    </row>
    <row r="190" ht="25.5" customHeight="1">
      <c r="BI190" t="s" s="11">
        <v>56</v>
      </c>
      <c r="BJ190" s="18"/>
      <c r="BK190" s="19"/>
      <c r="BL190" s="19"/>
      <c r="BM190" s="19"/>
      <c r="BN190" s="19"/>
      <c r="BO190" s="19"/>
      <c r="BP190" s="24" cm="1">
        <f t="array" ref="BP190">SUM(BJ190:BO190)</f>
        <v>0</v>
      </c>
      <c r="BQ190" s="19"/>
    </row>
    <row r="191" ht="25.5" customHeight="1">
      <c r="BI191" t="s" s="11">
        <v>10</v>
      </c>
      <c r="BJ191" s="18"/>
      <c r="BK191" s="19"/>
      <c r="BL191" s="19"/>
      <c r="BM191" s="19"/>
      <c r="BN191" s="19"/>
      <c r="BO191" s="19"/>
      <c r="BP191" s="24" cm="1">
        <f t="array" ref="BP191">SUM(BJ191:BO191)</f>
        <v>0</v>
      </c>
      <c r="BQ191" s="19"/>
    </row>
    <row r="192" ht="25.5" customHeight="1">
      <c r="BI192" t="s" s="11">
        <v>35</v>
      </c>
      <c r="BJ192" s="18"/>
      <c r="BK192" s="19"/>
      <c r="BL192" s="19"/>
      <c r="BM192" s="19"/>
      <c r="BN192" s="19"/>
      <c r="BO192" s="19"/>
      <c r="BP192" s="24" cm="1">
        <f t="array" ref="BP192">SUM(BJ192:BO192)</f>
        <v>0</v>
      </c>
      <c r="BQ192" s="19"/>
    </row>
    <row r="193" ht="25.5" customHeight="1">
      <c r="BI193" t="s" s="11">
        <v>16</v>
      </c>
      <c r="BJ193" s="18"/>
      <c r="BK193" s="19"/>
      <c r="BL193" s="73">
        <v>1</v>
      </c>
      <c r="BM193" s="73">
        <v>1</v>
      </c>
      <c r="BN193" s="19"/>
      <c r="BO193" s="19"/>
      <c r="BP193" s="24" cm="1">
        <f t="array" ref="BP193">SUM(BJ193:BO193)</f>
        <v>2</v>
      </c>
      <c r="BQ193" s="19"/>
    </row>
    <row r="194" ht="40.8" customHeight="1">
      <c r="BI194" t="s" s="11">
        <v>17</v>
      </c>
      <c r="BJ194" s="18"/>
      <c r="BK194" s="73">
        <v>1</v>
      </c>
      <c r="BL194" s="19"/>
      <c r="BM194" s="19"/>
      <c r="BN194" s="19"/>
      <c r="BO194" s="19"/>
      <c r="BP194" s="24" cm="1">
        <f t="array" ref="BP194">SUM(BJ194:BO194)</f>
        <v>1</v>
      </c>
      <c r="BQ194" s="19"/>
    </row>
    <row r="195" ht="25.5" customHeight="1">
      <c r="BI195" t="s" s="11">
        <v>18</v>
      </c>
      <c r="BJ195" s="18"/>
      <c r="BK195" s="73">
        <v>1</v>
      </c>
      <c r="BL195" s="73">
        <v>1</v>
      </c>
      <c r="BM195" s="19"/>
      <c r="BN195" s="19"/>
      <c r="BO195" s="19"/>
      <c r="BP195" s="24" cm="1">
        <f t="array" ref="BP195">SUM(BJ195:BO195)</f>
        <v>2</v>
      </c>
      <c r="BQ195" s="19"/>
    </row>
    <row r="196" ht="25.5" customHeight="1">
      <c r="BI196" t="s" s="11">
        <v>19</v>
      </c>
      <c r="BJ196" s="18"/>
      <c r="BK196" s="19"/>
      <c r="BL196" s="19"/>
      <c r="BM196" s="19"/>
      <c r="BN196" s="19"/>
      <c r="BO196" s="19"/>
      <c r="BP196" s="24" cm="1">
        <f t="array" ref="BP196">SUM(BJ196:BO196)</f>
        <v>0</v>
      </c>
      <c r="BQ196" s="19"/>
    </row>
    <row r="197" ht="25.5" customHeight="1">
      <c r="BI197" t="s" s="11">
        <v>20</v>
      </c>
      <c r="BJ197" s="18"/>
      <c r="BK197" s="19"/>
      <c r="BL197" s="19"/>
      <c r="BM197" s="19"/>
      <c r="BN197" s="19"/>
      <c r="BO197" s="19"/>
      <c r="BP197" s="24" cm="1">
        <f t="array" ref="BP197">SUM(BJ197:BO197)</f>
        <v>0</v>
      </c>
      <c r="BQ197" s="19"/>
    </row>
    <row r="198" ht="25.5" customHeight="1">
      <c r="BI198" t="s" s="11">
        <v>21</v>
      </c>
      <c r="BJ198" s="52">
        <v>1</v>
      </c>
      <c r="BK198" s="73">
        <v>1</v>
      </c>
      <c r="BL198" s="73">
        <v>1</v>
      </c>
      <c r="BM198" s="19"/>
      <c r="BN198" s="19"/>
      <c r="BO198" s="19"/>
      <c r="BP198" s="24" cm="1">
        <f t="array" ref="BP198">SUM(BJ198:BO198)</f>
        <v>3</v>
      </c>
      <c r="BQ198" s="19"/>
    </row>
    <row r="199" ht="25.5" customHeight="1">
      <c r="BI199" t="s" s="11">
        <v>22</v>
      </c>
      <c r="BJ199" s="74">
        <v>1</v>
      </c>
      <c r="BK199" s="51">
        <v>1</v>
      </c>
      <c r="BL199" s="51">
        <v>1</v>
      </c>
      <c r="BM199" s="51">
        <v>1</v>
      </c>
      <c r="BN199" s="19"/>
      <c r="BO199" s="19"/>
      <c r="BP199" s="24" cm="1">
        <f t="array" ref="BP199">SUM(BJ199:BO199)</f>
        <v>4</v>
      </c>
      <c r="BQ199" s="19"/>
    </row>
    <row r="200" ht="25.5" customHeight="1">
      <c r="BI200" t="s" s="11">
        <v>27</v>
      </c>
      <c r="BJ200" s="18"/>
      <c r="BK200" s="19"/>
      <c r="BL200" s="19"/>
      <c r="BM200" s="19"/>
      <c r="BN200" s="54">
        <v>1</v>
      </c>
      <c r="BO200" s="19"/>
      <c r="BP200" s="24" cm="1">
        <f t="array" ref="BP200">SUM(BJ200:BO200)</f>
        <v>1</v>
      </c>
      <c r="BQ200" s="19"/>
    </row>
    <row r="201" ht="25.5" customHeight="1">
      <c r="BI201" t="s" s="11">
        <v>42</v>
      </c>
      <c r="BJ201" s="18"/>
      <c r="BK201" s="19"/>
      <c r="BL201" s="19"/>
      <c r="BM201" s="19"/>
      <c r="BN201" s="19"/>
      <c r="BO201" s="19"/>
      <c r="BP201" s="24" cm="1">
        <f t="array" ref="BP201">SUM(BJ201:BO201)</f>
        <v>0</v>
      </c>
      <c r="BQ201" s="19"/>
    </row>
    <row r="202" ht="25.5" customHeight="1">
      <c r="BI202" t="s" s="11">
        <v>43</v>
      </c>
      <c r="BJ202" s="18"/>
      <c r="BK202" s="19"/>
      <c r="BL202" s="19"/>
      <c r="BM202" s="19"/>
      <c r="BN202" s="19"/>
      <c r="BO202" s="19"/>
      <c r="BP202" s="24" cm="1">
        <f t="array" ref="BP202">SUM(BJ202:BO202)</f>
        <v>0</v>
      </c>
      <c r="BQ202" s="19"/>
    </row>
    <row r="203" ht="25.5" customHeight="1">
      <c r="BI203" t="s" s="11">
        <v>41</v>
      </c>
      <c r="BJ203" s="18"/>
      <c r="BK203" s="19"/>
      <c r="BL203" s="19"/>
      <c r="BM203" s="19"/>
      <c r="BN203" s="19"/>
      <c r="BO203" s="19"/>
      <c r="BP203" s="24" cm="1">
        <f t="array" ref="BP203">SUM(BJ203:BO203)</f>
        <v>0</v>
      </c>
      <c r="BQ203" s="19"/>
    </row>
    <row r="204" ht="25.5" customHeight="1">
      <c r="BI204" t="s" s="11">
        <v>32</v>
      </c>
      <c r="BJ204" s="18"/>
      <c r="BK204" s="19"/>
      <c r="BL204" s="19"/>
      <c r="BM204" s="19"/>
      <c r="BN204" s="54">
        <v>1</v>
      </c>
      <c r="BO204" s="19"/>
      <c r="BP204" s="24" cm="1">
        <f t="array" ref="BP204">SUM(BJ204:BO204)</f>
        <v>1</v>
      </c>
      <c r="BQ204" s="24">
        <v>0</v>
      </c>
    </row>
    <row r="205" ht="25.5" customHeight="1">
      <c r="BI205" t="s" s="32">
        <v>50</v>
      </c>
      <c r="BJ205" s="18"/>
      <c r="BK205" s="19"/>
      <c r="BL205" s="19"/>
      <c r="BM205" s="19"/>
      <c r="BN205" s="54">
        <v>1</v>
      </c>
      <c r="BO205" s="19"/>
      <c r="BP205" s="24" cm="1">
        <f t="array" ref="BP205">SUM(BJ205:BO205)</f>
        <v>1</v>
      </c>
      <c r="BQ205" s="24">
        <v>1</v>
      </c>
    </row>
    <row r="206" ht="25.5" customHeight="1">
      <c r="BI206" t="s" s="32">
        <v>52</v>
      </c>
      <c r="BJ206" s="18"/>
      <c r="BK206" s="19"/>
      <c r="BL206" s="19"/>
      <c r="BM206" s="19"/>
      <c r="BN206" s="54">
        <v>1</v>
      </c>
      <c r="BO206" s="19"/>
      <c r="BP206" s="24" cm="1">
        <f t="array" ref="BP206">SUM(BJ206:BO206)</f>
        <v>1</v>
      </c>
      <c r="BQ206" s="24">
        <v>1</v>
      </c>
    </row>
    <row r="207" ht="20.05" customHeight="1">
      <c r="BI207" t="s" s="32">
        <v>51</v>
      </c>
      <c r="BJ207" s="18"/>
      <c r="BK207" s="19"/>
      <c r="BL207" s="19"/>
      <c r="BM207" s="19"/>
      <c r="BN207" s="54">
        <v>1</v>
      </c>
      <c r="BO207" s="19"/>
      <c r="BP207" s="24" cm="1">
        <f t="array" ref="BP207">SUM(BJ207:BO207)</f>
        <v>1</v>
      </c>
      <c r="BQ207" s="24">
        <v>1</v>
      </c>
    </row>
    <row r="208" ht="25.5" customHeight="1">
      <c r="BI208" t="s" s="44">
        <v>70</v>
      </c>
      <c r="BJ208" s="18"/>
      <c r="BK208" s="19"/>
      <c r="BL208" s="19"/>
      <c r="BM208" s="19"/>
      <c r="BN208" s="19"/>
      <c r="BO208" s="19"/>
      <c r="BP208" s="24" cm="1">
        <f t="array" ref="BP208">SUM(BJ208:BO208)</f>
        <v>0</v>
      </c>
      <c r="BQ208" s="19"/>
    </row>
    <row r="209" ht="37.55" customHeight="1">
      <c r="BI209" t="s" s="44">
        <v>58</v>
      </c>
      <c r="BJ209" s="18"/>
      <c r="BK209" s="19"/>
      <c r="BL209" s="19"/>
      <c r="BM209" s="19"/>
      <c r="BN209" s="19"/>
      <c r="BO209" s="19"/>
      <c r="BP209" s="24" cm="1">
        <f t="array" ref="BP209">SUM(BJ209:BO209)</f>
        <v>0</v>
      </c>
      <c r="BQ209" s="19"/>
    </row>
    <row r="210" ht="25.5" customHeight="1">
      <c r="BI210" t="s" s="44">
        <v>45</v>
      </c>
      <c r="BJ210" s="18"/>
      <c r="BK210" s="73">
        <v>1</v>
      </c>
      <c r="BL210" s="19"/>
      <c r="BM210" s="73">
        <v>1</v>
      </c>
      <c r="BN210" s="19"/>
      <c r="BO210" s="19"/>
      <c r="BP210" s="24" cm="1">
        <f t="array" ref="BP210">SUM(BJ210:BO210)</f>
        <v>2</v>
      </c>
      <c r="BQ210" s="19"/>
    </row>
    <row r="211" ht="38.55" customHeight="1">
      <c r="BI211" t="s" s="44">
        <v>46</v>
      </c>
      <c r="BJ211" s="55"/>
      <c r="BK211" s="73">
        <v>1</v>
      </c>
      <c r="BL211" s="19"/>
      <c r="BM211" s="73">
        <v>1</v>
      </c>
      <c r="BN211" s="19"/>
      <c r="BO211" s="19"/>
      <c r="BP211" s="24" cm="1">
        <f t="array" ref="BP211">SUM(BJ211:BO211)</f>
        <v>2</v>
      </c>
      <c r="BQ211" s="19"/>
    </row>
    <row r="212" ht="38.55" customHeight="1">
      <c r="BI212" t="s" s="44">
        <v>91</v>
      </c>
      <c r="BJ212" s="52">
        <v>1</v>
      </c>
      <c r="BK212" s="19"/>
      <c r="BL212" s="19"/>
      <c r="BM212" s="19"/>
      <c r="BN212" s="54">
        <v>1</v>
      </c>
      <c r="BO212" s="19"/>
      <c r="BP212" s="24" cm="1">
        <f t="array" ref="BP212">SUM(BJ212:BO212)</f>
        <v>2</v>
      </c>
      <c r="BQ212" s="19"/>
    </row>
    <row r="213" ht="25.5" customHeight="1">
      <c r="BI213" t="s" s="44">
        <v>48</v>
      </c>
      <c r="BJ213" s="18"/>
      <c r="BK213" s="19"/>
      <c r="BL213" s="58">
        <v>1</v>
      </c>
      <c r="BM213" s="19"/>
      <c r="BN213" s="54">
        <v>1</v>
      </c>
      <c r="BO213" s="19"/>
      <c r="BP213" s="24" cm="1">
        <f t="array" ref="BP213">SUM(BJ213:BO213)</f>
        <v>2</v>
      </c>
      <c r="BQ213" s="24">
        <v>2</v>
      </c>
    </row>
    <row r="214" ht="25.5" customHeight="1">
      <c r="BI214" t="s" s="44">
        <v>49</v>
      </c>
      <c r="BJ214" s="57">
        <v>1</v>
      </c>
      <c r="BK214" s="19"/>
      <c r="BL214" s="58">
        <v>1</v>
      </c>
      <c r="BM214" s="19"/>
      <c r="BN214" s="19"/>
      <c r="BO214" s="19"/>
      <c r="BP214" s="24" cm="1">
        <f t="array" ref="BP214">SUM(BJ214:BO214)</f>
        <v>2</v>
      </c>
      <c r="BQ214" s="24">
        <v>2</v>
      </c>
    </row>
    <row r="215" ht="25.5" customHeight="1">
      <c r="BI215" t="s" s="49">
        <v>30</v>
      </c>
      <c r="BJ215" s="12" cm="1">
        <f t="array" ref="BJ215">SUM(BJ189:BJ214)</f>
        <v>4</v>
      </c>
      <c r="BK215" s="24" cm="1">
        <f t="array" ref="BK215">SUM(BK189:BK214)</f>
        <v>7</v>
      </c>
      <c r="BL215" s="24" cm="1">
        <f t="array" ref="BL215">SUM(BL189:BL214)</f>
        <v>6</v>
      </c>
      <c r="BM215" s="24" cm="1">
        <f t="array" ref="BM215">SUM(BM189:BM214)</f>
        <v>5</v>
      </c>
      <c r="BN215" s="24" cm="1">
        <f t="array" ref="BN215">SUM(BN189:BN214)</f>
        <v>8</v>
      </c>
      <c r="BO215" s="24" cm="1">
        <f t="array" ref="BO215">SUM(BO189:BO214)</f>
        <v>0</v>
      </c>
      <c r="BP215" t="s" s="14">
        <v>25</v>
      </c>
      <c r="BQ215" s="19"/>
    </row>
    <row r="217" ht="27.65" customHeight="1">
      <c r="BR217" t="s" s="2">
        <v>92</v>
      </c>
      <c r="BS217" s="2"/>
      <c r="BT217" s="2"/>
      <c r="BU217" s="2"/>
      <c r="BV217" s="2"/>
      <c r="BW217" s="2"/>
      <c r="BX217" s="2"/>
      <c r="BY217" s="2"/>
      <c r="BZ217" s="2"/>
      <c r="CA217" s="2"/>
    </row>
    <row r="218" ht="38.85" customHeight="1">
      <c r="BR218" s="35"/>
      <c r="BS218" t="s" s="3">
        <v>85</v>
      </c>
      <c r="BT218" t="s" s="3">
        <v>86</v>
      </c>
      <c r="BU218" t="s" s="3">
        <v>87</v>
      </c>
      <c r="BV218" t="s" s="3">
        <v>88</v>
      </c>
      <c r="BW218" t="s" s="3">
        <v>89</v>
      </c>
      <c r="BX218" t="s" s="3">
        <v>90</v>
      </c>
      <c r="BY218" t="s" s="3">
        <v>67</v>
      </c>
      <c r="BZ218" t="s" s="3">
        <v>68</v>
      </c>
      <c r="CA218" t="s" s="3">
        <v>69</v>
      </c>
    </row>
    <row r="219" ht="24.45" customHeight="1">
      <c r="BR219" t="s" s="6">
        <v>55</v>
      </c>
      <c r="BS219" s="46"/>
      <c r="BT219" s="76"/>
      <c r="BU219" s="37"/>
      <c r="BV219" s="37"/>
      <c r="BW219" s="76"/>
      <c r="BX219" s="37"/>
      <c r="BY219" s="37"/>
      <c r="BZ219" s="37"/>
      <c r="CA219" s="37"/>
    </row>
    <row r="220" ht="24.2" customHeight="1">
      <c r="BR220" t="s" s="11">
        <v>56</v>
      </c>
      <c r="BS220" s="18"/>
      <c r="BT220" s="19"/>
      <c r="BU220" s="19"/>
      <c r="BV220" s="19"/>
      <c r="BW220" s="19"/>
      <c r="BX220" s="19"/>
      <c r="BY220" s="19"/>
      <c r="BZ220" s="19"/>
      <c r="CA220" s="19"/>
    </row>
    <row r="221" ht="24.2" customHeight="1">
      <c r="BR221" t="s" s="11">
        <v>10</v>
      </c>
      <c r="BS221" s="18"/>
      <c r="BT221" s="19"/>
      <c r="BU221" s="19"/>
      <c r="BV221" s="19"/>
      <c r="BW221" s="19"/>
      <c r="BX221" s="19"/>
      <c r="BY221" s="19"/>
      <c r="BZ221" s="19"/>
      <c r="CA221" s="19"/>
    </row>
    <row r="222" ht="24.2" customHeight="1">
      <c r="BR222" t="s" s="11">
        <v>35</v>
      </c>
      <c r="BS222" s="18"/>
      <c r="BT222" s="19"/>
      <c r="BU222" s="19"/>
      <c r="BV222" s="19"/>
      <c r="BW222" s="19"/>
      <c r="BX222" s="19"/>
      <c r="BY222" s="19"/>
      <c r="BZ222" s="19"/>
      <c r="CA222" s="19"/>
    </row>
    <row r="223" ht="24.2" customHeight="1">
      <c r="BR223" t="s" s="11">
        <v>16</v>
      </c>
      <c r="BS223" s="18"/>
      <c r="BT223" s="19"/>
      <c r="BU223" s="19"/>
      <c r="BV223" s="19"/>
      <c r="BW223" s="19"/>
      <c r="BX223" s="19"/>
      <c r="BY223" s="19"/>
      <c r="BZ223" s="19"/>
      <c r="CA223" s="19"/>
    </row>
    <row r="224" ht="38.65" customHeight="1">
      <c r="BR224" t="s" s="11">
        <v>17</v>
      </c>
      <c r="BS224" s="18"/>
      <c r="BT224" s="68"/>
      <c r="BU224" s="19"/>
      <c r="BV224" s="19"/>
      <c r="BW224" s="19"/>
      <c r="BX224" s="19"/>
      <c r="BY224" s="19"/>
      <c r="BZ224" s="19"/>
      <c r="CA224" s="19"/>
    </row>
    <row r="225" ht="24.2" customHeight="1">
      <c r="BR225" t="s" s="11">
        <v>18</v>
      </c>
      <c r="BS225" s="18"/>
      <c r="BT225" s="68"/>
      <c r="BU225" s="19"/>
      <c r="BV225" s="19"/>
      <c r="BW225" s="19"/>
      <c r="BX225" s="19"/>
      <c r="BY225" s="19"/>
      <c r="BZ225" s="19"/>
      <c r="CA225" s="19"/>
    </row>
    <row r="226" ht="24.2" customHeight="1">
      <c r="BR226" t="s" s="11">
        <v>19</v>
      </c>
      <c r="BS226" s="18"/>
      <c r="BT226" s="19"/>
      <c r="BU226" s="19"/>
      <c r="BV226" s="19"/>
      <c r="BW226" s="19"/>
      <c r="BX226" s="19"/>
      <c r="BY226" s="19"/>
      <c r="BZ226" s="19"/>
      <c r="CA226" s="19"/>
    </row>
    <row r="227" ht="24.2" customHeight="1">
      <c r="BR227" t="s" s="11">
        <v>20</v>
      </c>
      <c r="BS227" s="18"/>
      <c r="BT227" s="19"/>
      <c r="BU227" s="19"/>
      <c r="BV227" s="19"/>
      <c r="BW227" s="19"/>
      <c r="BX227" s="19"/>
      <c r="BY227" s="19"/>
      <c r="BZ227" s="19"/>
      <c r="CA227" s="19"/>
    </row>
    <row r="228" ht="24.2" customHeight="1">
      <c r="BR228" t="s" s="64">
        <v>21</v>
      </c>
      <c r="BS228" s="66"/>
      <c r="BT228" s="27"/>
      <c r="BU228" s="27"/>
      <c r="BV228" s="27"/>
      <c r="BW228" s="27"/>
      <c r="BX228" s="27"/>
      <c r="BY228" s="67"/>
      <c r="BZ228" s="27"/>
      <c r="CA228" s="27"/>
    </row>
    <row r="229" ht="24.2" customHeight="1">
      <c r="BR229" t="s" s="11">
        <v>22</v>
      </c>
      <c r="BS229" s="18"/>
      <c r="BT229" s="19"/>
      <c r="BU229" s="19"/>
      <c r="BV229" s="19"/>
      <c r="BW229" s="19"/>
      <c r="BX229" s="19"/>
      <c r="BY229" s="19"/>
      <c r="BZ229" s="19"/>
      <c r="CA229" s="19"/>
    </row>
    <row r="230" ht="24.2" customHeight="1">
      <c r="BR230" t="s" s="11">
        <v>27</v>
      </c>
      <c r="BS230" s="18"/>
      <c r="BT230" s="19"/>
      <c r="BU230" s="19"/>
      <c r="BV230" s="19"/>
      <c r="BW230" s="65"/>
      <c r="BX230" s="19"/>
      <c r="BY230" s="19"/>
      <c r="BZ230" s="19"/>
      <c r="CA230" s="19"/>
    </row>
    <row r="231" ht="24.2" customHeight="1">
      <c r="BR231" t="s" s="11">
        <v>42</v>
      </c>
      <c r="BS231" s="18"/>
      <c r="BT231" s="19"/>
      <c r="BU231" s="19"/>
      <c r="BV231" s="19"/>
      <c r="BW231" s="19"/>
      <c r="BX231" s="19"/>
      <c r="BY231" s="19"/>
      <c r="BZ231" s="19"/>
      <c r="CA231" s="19"/>
    </row>
    <row r="232" ht="24.2" customHeight="1">
      <c r="BR232" t="s" s="11">
        <v>43</v>
      </c>
      <c r="BS232" s="18"/>
      <c r="BT232" s="19"/>
      <c r="BU232" s="19"/>
      <c r="BV232" s="19"/>
      <c r="BW232" s="19"/>
      <c r="BX232" s="19"/>
      <c r="BY232" s="19"/>
      <c r="BZ232" s="19"/>
      <c r="CA232" s="19"/>
    </row>
    <row r="233" ht="24.2" customHeight="1">
      <c r="BR233" t="s" s="11">
        <v>41</v>
      </c>
      <c r="BS233" s="18"/>
      <c r="BT233" s="19"/>
      <c r="BU233" s="19"/>
      <c r="BV233" s="19"/>
      <c r="BW233" s="19"/>
      <c r="BX233" s="19"/>
      <c r="BY233" s="19"/>
      <c r="BZ233" s="19"/>
      <c r="CA233" s="19"/>
    </row>
    <row r="234" ht="24.2" customHeight="1">
      <c r="BR234" t="s" s="11">
        <v>32</v>
      </c>
      <c r="BS234" s="18"/>
      <c r="BT234" s="19"/>
      <c r="BU234" s="19"/>
      <c r="BV234" s="19"/>
      <c r="BW234" s="19"/>
      <c r="BX234" s="19"/>
      <c r="BY234" s="19"/>
      <c r="BZ234" s="19"/>
      <c r="CA234" s="19"/>
    </row>
    <row r="235" ht="24.2" customHeight="1">
      <c r="BR235" s="17"/>
      <c r="BS235" s="18"/>
      <c r="BT235" s="19"/>
      <c r="BU235" s="19"/>
      <c r="BV235" s="19"/>
      <c r="BW235" s="19"/>
      <c r="BX235" s="19"/>
      <c r="BY235" s="19"/>
      <c r="BZ235" s="19"/>
      <c r="CA235" s="19"/>
    </row>
    <row r="236" ht="24.2" customHeight="1">
      <c r="BR236" t="s" s="44">
        <v>70</v>
      </c>
      <c r="BS236" s="18"/>
      <c r="BT236" s="19"/>
      <c r="BU236" s="19"/>
      <c r="BV236" s="19"/>
      <c r="BW236" s="19"/>
      <c r="BX236" s="19"/>
      <c r="BY236" s="19"/>
      <c r="BZ236" s="19"/>
      <c r="CA236" s="19"/>
    </row>
    <row r="237" ht="24.2" customHeight="1">
      <c r="BR237" t="s" s="44">
        <v>58</v>
      </c>
      <c r="BS237" s="18"/>
      <c r="BT237" s="19"/>
      <c r="BU237" s="19"/>
      <c r="BV237" s="19"/>
      <c r="BW237" s="19"/>
      <c r="BX237" s="19"/>
      <c r="BY237" s="19"/>
      <c r="BZ237" s="19"/>
      <c r="CA237" s="19"/>
    </row>
    <row r="238" ht="24.2" customHeight="1">
      <c r="BR238" t="s" s="44">
        <v>93</v>
      </c>
      <c r="BS238" s="18"/>
      <c r="BT238" s="19"/>
      <c r="BU238" s="19"/>
      <c r="BV238" s="19"/>
      <c r="BW238" s="19"/>
      <c r="BX238" s="19"/>
      <c r="BY238" s="19"/>
      <c r="BZ238" s="19"/>
      <c r="CA238" s="19"/>
    </row>
    <row r="239" ht="35.55" customHeight="1">
      <c r="BR239" t="s" s="64">
        <v>45</v>
      </c>
      <c r="BS239" s="18"/>
      <c r="BT239" s="68"/>
      <c r="BU239" s="19"/>
      <c r="BV239" s="19"/>
      <c r="BW239" s="19"/>
      <c r="BX239" s="19"/>
      <c r="BY239" s="19"/>
      <c r="BZ239" s="19"/>
      <c r="CA239" s="19"/>
    </row>
    <row r="240" ht="38.6" customHeight="1">
      <c r="BR240" t="s" s="64">
        <v>46</v>
      </c>
      <c r="BS240" s="55"/>
      <c r="BT240" s="77"/>
      <c r="BU240" s="27"/>
      <c r="BV240" s="27"/>
      <c r="BW240" s="27"/>
      <c r="BX240" s="27"/>
      <c r="BY240" s="78"/>
      <c r="BZ240" s="27"/>
      <c r="CA240" s="27"/>
    </row>
    <row r="241" ht="24.2" customHeight="1">
      <c r="BR241" t="s" s="21">
        <v>47</v>
      </c>
      <c r="BS241" s="79"/>
      <c r="BT241" s="19"/>
      <c r="BU241" s="19"/>
      <c r="BV241" s="19"/>
      <c r="BW241" s="65"/>
      <c r="BX241" s="19"/>
      <c r="BY241" s="19"/>
      <c r="BZ241" t="s" s="14">
        <v>25</v>
      </c>
      <c r="CA241" s="19"/>
    </row>
    <row r="242" ht="24.2" customHeight="1">
      <c r="BR242" t="s" s="21">
        <v>48</v>
      </c>
      <c r="BS242" s="18"/>
      <c r="BT242" s="19"/>
      <c r="BU242" s="19"/>
      <c r="BV242" s="19"/>
      <c r="BW242" s="65"/>
      <c r="BX242" s="19"/>
      <c r="BY242" s="19"/>
      <c r="BZ242" s="19"/>
      <c r="CA242" s="19"/>
    </row>
    <row r="243" ht="24.2" customHeight="1">
      <c r="BR243" t="s" s="21">
        <v>49</v>
      </c>
      <c r="BS243" s="66"/>
      <c r="BT243" s="19"/>
      <c r="BU243" s="65"/>
      <c r="BV243" s="19"/>
      <c r="BW243" s="19"/>
      <c r="BX243" s="19"/>
      <c r="BY243" s="19"/>
      <c r="BZ243" s="24">
        <v>1</v>
      </c>
      <c r="CA243" s="19"/>
    </row>
    <row r="244" ht="24.2" customHeight="1">
      <c r="BR244" t="s" s="64">
        <v>50</v>
      </c>
      <c r="BS244" s="55"/>
      <c r="BT244" s="19"/>
      <c r="BU244" s="19"/>
      <c r="BV244" s="19"/>
      <c r="BW244" s="65"/>
      <c r="BX244" s="19"/>
      <c r="BY244" s="19"/>
      <c r="BZ244" s="19"/>
      <c r="CA244" s="19"/>
    </row>
    <row r="245" ht="24.2" customHeight="1">
      <c r="BR245" t="s" s="64">
        <v>52</v>
      </c>
      <c r="BS245" s="55"/>
      <c r="BT245" s="19"/>
      <c r="BU245" s="19"/>
      <c r="BV245" s="19"/>
      <c r="BW245" s="65"/>
      <c r="BX245" s="19"/>
      <c r="BY245" s="19"/>
      <c r="BZ245" s="19"/>
      <c r="CA245" s="19"/>
    </row>
    <row r="246" ht="52" customHeight="1">
      <c r="BR246" t="s" s="64">
        <v>51</v>
      </c>
      <c r="BS246" s="55"/>
      <c r="BT246" s="19"/>
      <c r="BU246" s="19"/>
      <c r="BV246" s="19"/>
      <c r="BW246" s="65"/>
      <c r="BX246" s="19"/>
      <c r="BY246" s="19"/>
      <c r="BZ246" s="19"/>
      <c r="CA246" s="19"/>
    </row>
    <row r="247" ht="20.05" customHeight="1">
      <c r="BR247" t="s" s="49">
        <v>30</v>
      </c>
      <c r="BS247" s="12" cm="1">
        <f t="array" ref="BS247">SUM(BS221:BS246)</f>
        <v>0</v>
      </c>
      <c r="BT247" s="24" cm="1">
        <f t="array" ref="BT247">SUM(BT221:BT246)</f>
        <v>0</v>
      </c>
      <c r="BU247" s="24" cm="1">
        <f t="array" ref="BU247">SUM(BU221:BU246)</f>
        <v>0</v>
      </c>
      <c r="BV247" s="24" cm="1">
        <f t="array" ref="BV247">SUM(BV221:BV246)</f>
        <v>0</v>
      </c>
      <c r="BW247" s="24" cm="1">
        <f t="array" ref="BW247">SUM(BW221:BW246)</f>
        <v>0</v>
      </c>
      <c r="BX247" s="24" cm="1">
        <f t="array" ref="BX247">SUM(BX221:BX246)</f>
        <v>0</v>
      </c>
      <c r="BY247" t="s" s="14">
        <v>25</v>
      </c>
      <c r="BZ247" s="24" cm="1">
        <f t="array" ref="BZ247">SUM(BZ221:BZ246)</f>
        <v>1</v>
      </c>
      <c r="CA247" s="80">
        <v>0</v>
      </c>
    </row>
    <row r="249" ht="27.65" customHeight="1">
      <c r="CB249" t="s" s="2">
        <v>94</v>
      </c>
      <c r="CC249" s="2"/>
      <c r="CD249" s="2"/>
      <c r="CE249" s="2"/>
      <c r="CF249" s="2"/>
      <c r="CG249" s="2"/>
      <c r="CH249" s="2"/>
      <c r="CI249" s="2"/>
      <c r="CJ249" s="2"/>
    </row>
    <row r="250" ht="43.75" customHeight="1">
      <c r="CB250" s="35"/>
      <c r="CC250" t="s" s="3">
        <v>95</v>
      </c>
      <c r="CD250" t="s" s="3">
        <v>96</v>
      </c>
      <c r="CE250" t="s" s="3">
        <v>97</v>
      </c>
      <c r="CF250" t="s" s="3">
        <v>98</v>
      </c>
      <c r="CG250" t="s" s="3">
        <v>99</v>
      </c>
      <c r="CH250" t="s" s="3">
        <v>100</v>
      </c>
      <c r="CI250" t="s" s="3">
        <v>53</v>
      </c>
      <c r="CJ250" t="s" s="3">
        <v>67</v>
      </c>
    </row>
    <row r="251" ht="27.5" customHeight="1">
      <c r="CB251" t="s" s="6">
        <v>55</v>
      </c>
      <c r="CC251" s="46"/>
      <c r="CD251" s="37"/>
      <c r="CE251" s="37"/>
      <c r="CF251" s="72">
        <v>1</v>
      </c>
      <c r="CG251" s="37"/>
      <c r="CH251" s="37"/>
      <c r="CI251" s="47" cm="1">
        <f t="array" ref="CI251">SUM(CC251:CH251)</f>
        <v>1</v>
      </c>
      <c r="CJ251" s="37"/>
    </row>
    <row r="252" ht="27.2" customHeight="1">
      <c r="CB252" t="s" s="11">
        <v>56</v>
      </c>
      <c r="CC252" s="18"/>
      <c r="CD252" s="19"/>
      <c r="CE252" s="19"/>
      <c r="CF252" s="19"/>
      <c r="CG252" s="19"/>
      <c r="CH252" s="19"/>
      <c r="CI252" s="24" cm="1">
        <f t="array" ref="CI252">SUM(CC252:CH252)</f>
        <v>0</v>
      </c>
      <c r="CJ252" s="19"/>
    </row>
    <row r="253" ht="27.2" customHeight="1">
      <c r="CB253" t="s" s="11">
        <v>10</v>
      </c>
      <c r="CC253" s="74">
        <v>1</v>
      </c>
      <c r="CD253" s="54">
        <v>1</v>
      </c>
      <c r="CE253" s="82">
        <v>1</v>
      </c>
      <c r="CF253" s="19"/>
      <c r="CG253" s="19"/>
      <c r="CH253" s="19"/>
      <c r="CI253" s="24" cm="1">
        <f t="array" ref="CI253">SUM(CC253:CH253)</f>
        <v>3</v>
      </c>
      <c r="CJ253" s="19"/>
    </row>
    <row r="254" ht="27.2" customHeight="1">
      <c r="CB254" t="s" s="11">
        <v>35</v>
      </c>
      <c r="CC254" s="18"/>
      <c r="CD254" s="19"/>
      <c r="CE254" s="19"/>
      <c r="CF254" s="19"/>
      <c r="CG254" s="19"/>
      <c r="CH254" s="19"/>
      <c r="CI254" s="24" cm="1">
        <f t="array" ref="CI254">SUM(CC254:CH254)</f>
        <v>0</v>
      </c>
      <c r="CJ254" s="19"/>
    </row>
    <row r="255" ht="27.2" customHeight="1">
      <c r="CB255" t="s" s="11">
        <v>16</v>
      </c>
      <c r="CC255" s="18"/>
      <c r="CD255" s="19"/>
      <c r="CE255" s="19"/>
      <c r="CF255" s="19"/>
      <c r="CG255" s="19"/>
      <c r="CH255" s="51">
        <v>1</v>
      </c>
      <c r="CI255" s="24" cm="1">
        <f t="array" ref="CI255">SUM(CC255:CH255)</f>
        <v>1</v>
      </c>
      <c r="CJ255" s="19"/>
    </row>
    <row r="256" ht="43.5" customHeight="1">
      <c r="CB256" t="s" s="11">
        <v>17</v>
      </c>
      <c r="CC256" s="18"/>
      <c r="CD256" s="19"/>
      <c r="CE256" s="19"/>
      <c r="CF256" s="19"/>
      <c r="CG256" s="19"/>
      <c r="CH256" s="19"/>
      <c r="CI256" s="24" cm="1">
        <f t="array" ref="CI256">SUM(CC256:CH256)</f>
        <v>0</v>
      </c>
      <c r="CJ256" s="19"/>
    </row>
    <row r="257" ht="27.2" customHeight="1">
      <c r="CB257" t="s" s="11">
        <v>18</v>
      </c>
      <c r="CC257" s="74">
        <v>1</v>
      </c>
      <c r="CD257" s="54">
        <v>1</v>
      </c>
      <c r="CE257" s="51">
        <v>1</v>
      </c>
      <c r="CF257" s="51">
        <v>1</v>
      </c>
      <c r="CG257" s="51">
        <v>1</v>
      </c>
      <c r="CH257" s="19"/>
      <c r="CI257" s="24" cm="1">
        <f t="array" ref="CI257">SUM(CC257:CH257)</f>
        <v>5</v>
      </c>
      <c r="CJ257" s="19"/>
    </row>
    <row r="258" ht="27.2" customHeight="1">
      <c r="CB258" t="s" s="11">
        <v>19</v>
      </c>
      <c r="CC258" s="18"/>
      <c r="CD258" s="19"/>
      <c r="CE258" s="19"/>
      <c r="CF258" s="19"/>
      <c r="CG258" s="19"/>
      <c r="CH258" s="19"/>
      <c r="CI258" s="24" cm="1">
        <f t="array" ref="CI258">SUM(CC258:CH258)</f>
        <v>0</v>
      </c>
      <c r="CJ258" s="19"/>
    </row>
    <row r="259" ht="27.2" customHeight="1">
      <c r="CB259" t="s" s="11">
        <v>20</v>
      </c>
      <c r="CC259" s="74">
        <v>1</v>
      </c>
      <c r="CD259" s="19"/>
      <c r="CE259" s="51">
        <v>1</v>
      </c>
      <c r="CF259" s="19"/>
      <c r="CG259" s="19"/>
      <c r="CH259" s="19"/>
      <c r="CI259" s="24" cm="1">
        <f t="array" ref="CI259">SUM(CC259:CH259)</f>
        <v>2</v>
      </c>
      <c r="CJ259" s="19"/>
    </row>
    <row r="260" ht="27.2" customHeight="1">
      <c r="CB260" t="s" s="11">
        <v>21</v>
      </c>
      <c r="CC260" s="52">
        <v>1</v>
      </c>
      <c r="CD260" s="19"/>
      <c r="CE260" s="19"/>
      <c r="CF260" s="19"/>
      <c r="CG260" s="19"/>
      <c r="CH260" s="51">
        <v>1</v>
      </c>
      <c r="CI260" s="24" cm="1">
        <f t="array" ref="CI260">SUM(CC260:CH260)</f>
        <v>2</v>
      </c>
      <c r="CJ260" s="19"/>
    </row>
    <row r="261" ht="27.2" customHeight="1">
      <c r="CB261" t="s" s="11">
        <v>22</v>
      </c>
      <c r="CC261" s="18"/>
      <c r="CD261" s="54">
        <v>1</v>
      </c>
      <c r="CE261" s="51">
        <v>1</v>
      </c>
      <c r="CF261" s="19"/>
      <c r="CG261" s="19"/>
      <c r="CH261" s="19"/>
      <c r="CI261" s="24" cm="1">
        <f t="array" ref="CI261">SUM(CC261:CH261)</f>
        <v>2</v>
      </c>
      <c r="CJ261" s="19"/>
    </row>
    <row r="262" ht="27.2" customHeight="1">
      <c r="CB262" t="s" s="11">
        <v>27</v>
      </c>
      <c r="CC262" s="52">
        <v>1</v>
      </c>
      <c r="CD262" s="19"/>
      <c r="CE262" s="19"/>
      <c r="CF262" s="19"/>
      <c r="CG262" s="19"/>
      <c r="CH262" s="19"/>
      <c r="CI262" s="24" cm="1">
        <f t="array" ref="CI262">SUM(CC262:CH262)</f>
        <v>1</v>
      </c>
      <c r="CJ262" s="19"/>
    </row>
    <row r="263" ht="27.2" customHeight="1">
      <c r="CB263" t="s" s="11">
        <v>42</v>
      </c>
      <c r="CC263" s="18"/>
      <c r="CD263" s="19"/>
      <c r="CE263" s="19"/>
      <c r="CF263" s="19"/>
      <c r="CG263" s="19"/>
      <c r="CH263" s="19"/>
      <c r="CI263" s="24" cm="1">
        <f t="array" ref="CI263">SUM(CC263:CH263)</f>
        <v>0</v>
      </c>
      <c r="CJ263" s="19"/>
    </row>
    <row r="264" ht="27.2" customHeight="1">
      <c r="CB264" t="s" s="11">
        <v>43</v>
      </c>
      <c r="CC264" s="18"/>
      <c r="CD264" s="19"/>
      <c r="CE264" s="19"/>
      <c r="CF264" s="19"/>
      <c r="CG264" s="19"/>
      <c r="CH264" s="19"/>
      <c r="CI264" s="24" cm="1">
        <f t="array" ref="CI264">SUM(CC264:CH264)</f>
        <v>0</v>
      </c>
      <c r="CJ264" s="19"/>
    </row>
    <row r="265" ht="27.2" customHeight="1">
      <c r="CB265" t="s" s="11">
        <v>41</v>
      </c>
      <c r="CC265" s="18"/>
      <c r="CD265" s="19"/>
      <c r="CE265" s="19"/>
      <c r="CF265" s="19"/>
      <c r="CG265" s="19"/>
      <c r="CH265" s="19"/>
      <c r="CI265" s="24" cm="1">
        <f t="array" ref="CI265">SUM(CC265:CH265)</f>
        <v>0</v>
      </c>
      <c r="CJ265" s="19"/>
    </row>
    <row r="266" ht="27.2" customHeight="1">
      <c r="CB266" t="s" s="11">
        <v>32</v>
      </c>
      <c r="CC266" s="18"/>
      <c r="CD266" s="19"/>
      <c r="CE266" s="19"/>
      <c r="CF266" s="19"/>
      <c r="CG266" s="19"/>
      <c r="CH266" s="19"/>
      <c r="CI266" s="24" cm="1">
        <f t="array" ref="CI266">SUM(CC266:CH266)</f>
        <v>0</v>
      </c>
      <c r="CJ266" s="19"/>
    </row>
    <row r="267" ht="27.2" customHeight="1">
      <c r="CB267" t="s" s="32">
        <v>50</v>
      </c>
      <c r="CC267" s="18"/>
      <c r="CD267" s="19"/>
      <c r="CE267" s="19"/>
      <c r="CF267" s="19"/>
      <c r="CG267" s="19"/>
      <c r="CH267" s="19"/>
      <c r="CI267" s="24" cm="1">
        <f t="array" ref="CI267">SUM(CC267:CH267)</f>
        <v>0</v>
      </c>
      <c r="CJ267" s="19"/>
    </row>
    <row r="268" ht="27.2" customHeight="1">
      <c r="CB268" t="s" s="32">
        <v>52</v>
      </c>
      <c r="CC268" s="18"/>
      <c r="CD268" s="19"/>
      <c r="CE268" s="19"/>
      <c r="CF268" s="19"/>
      <c r="CG268" s="19"/>
      <c r="CH268" s="19"/>
      <c r="CI268" s="24" cm="1">
        <f t="array" ref="CI268">SUM(CC268:CH268)</f>
        <v>0</v>
      </c>
      <c r="CJ268" s="19"/>
    </row>
    <row r="269" ht="27.2" customHeight="1">
      <c r="CB269" t="s" s="32">
        <v>51</v>
      </c>
      <c r="CC269" s="18"/>
      <c r="CD269" s="19"/>
      <c r="CE269" s="19"/>
      <c r="CF269" s="19"/>
      <c r="CG269" s="19"/>
      <c r="CH269" s="19"/>
      <c r="CI269" s="24" cm="1">
        <f t="array" ref="CI269">SUM(CC269:CH269)</f>
        <v>0</v>
      </c>
      <c r="CJ269" s="19"/>
    </row>
    <row r="270" ht="27.2" customHeight="1">
      <c r="CB270" t="s" s="44">
        <v>70</v>
      </c>
      <c r="CC270" s="18"/>
      <c r="CD270" s="19"/>
      <c r="CE270" s="19"/>
      <c r="CF270" s="19"/>
      <c r="CG270" s="19"/>
      <c r="CH270" s="19"/>
      <c r="CI270" s="24" cm="1">
        <f t="array" ref="CI270">SUM(CC270:CH270)</f>
        <v>0</v>
      </c>
      <c r="CJ270" s="19"/>
    </row>
    <row r="271" ht="27.2" customHeight="1">
      <c r="CB271" t="s" s="44">
        <v>58</v>
      </c>
      <c r="CC271" s="18"/>
      <c r="CD271" s="19"/>
      <c r="CE271" s="19"/>
      <c r="CF271" s="19"/>
      <c r="CG271" s="19"/>
      <c r="CH271" s="19"/>
      <c r="CI271" s="24" cm="1">
        <f t="array" ref="CI271">SUM(CC271:CH271)</f>
        <v>0</v>
      </c>
      <c r="CJ271" s="19"/>
    </row>
    <row r="272" ht="27.2" customHeight="1">
      <c r="CB272" t="s" s="44">
        <v>59</v>
      </c>
      <c r="CC272" s="18"/>
      <c r="CD272" s="19"/>
      <c r="CE272" s="19"/>
      <c r="CF272" s="19"/>
      <c r="CG272" s="19"/>
      <c r="CH272" s="19"/>
      <c r="CI272" s="24" cm="1">
        <f t="array" ref="CI272">SUM(CC272:CH272)</f>
        <v>0</v>
      </c>
      <c r="CJ272" s="19"/>
    </row>
    <row r="273" ht="20.85" customHeight="1">
      <c r="CB273" t="s" s="44">
        <v>45</v>
      </c>
      <c r="CC273" s="18"/>
      <c r="CD273" s="54">
        <v>1</v>
      </c>
      <c r="CE273" s="19"/>
      <c r="CF273" s="54">
        <v>1</v>
      </c>
      <c r="CG273" s="19"/>
      <c r="CH273" s="19"/>
      <c r="CI273" s="24" cm="1">
        <f t="array" ref="CI273">SUM(CC273:CH273)</f>
        <v>2</v>
      </c>
      <c r="CJ273" s="19"/>
    </row>
    <row r="274" ht="58.65" customHeight="1">
      <c r="CB274" t="s" s="44">
        <v>46</v>
      </c>
      <c r="CC274" s="18"/>
      <c r="CD274" s="54">
        <v>1</v>
      </c>
      <c r="CE274" s="19"/>
      <c r="CF274" s="54">
        <v>1</v>
      </c>
      <c r="CG274" s="19"/>
      <c r="CH274" s="19"/>
      <c r="CI274" s="24" cm="1">
        <f t="array" ref="CI274">SUM(CC274:CH274)</f>
        <v>2</v>
      </c>
      <c r="CJ274" s="19"/>
    </row>
    <row r="275" ht="27.2" customHeight="1">
      <c r="CB275" t="s" s="44">
        <v>91</v>
      </c>
      <c r="CC275" s="52">
        <v>1</v>
      </c>
      <c r="CD275" s="19"/>
      <c r="CE275" s="54">
        <v>1</v>
      </c>
      <c r="CF275" s="19"/>
      <c r="CG275" s="19"/>
      <c r="CH275" s="51">
        <v>1</v>
      </c>
      <c r="CI275" s="24" cm="1">
        <f t="array" ref="CI275">SUM(CC275:CH275)</f>
        <v>3</v>
      </c>
      <c r="CJ275" s="24">
        <v>3</v>
      </c>
    </row>
    <row r="276" ht="27.2" customHeight="1">
      <c r="CB276" t="s" s="44">
        <v>48</v>
      </c>
      <c r="CC276" s="57">
        <v>1</v>
      </c>
      <c r="CD276" s="19"/>
      <c r="CE276" s="58">
        <v>1</v>
      </c>
      <c r="CF276" s="19"/>
      <c r="CG276" s="19"/>
      <c r="CH276" s="51">
        <v>1</v>
      </c>
      <c r="CI276" s="24" cm="1">
        <f t="array" ref="CI276">SUM(CC276:CH276)</f>
        <v>3</v>
      </c>
      <c r="CJ276" s="19"/>
    </row>
    <row r="277" ht="27.2" customHeight="1">
      <c r="CB277" t="s" s="44">
        <v>49</v>
      </c>
      <c r="CC277" s="57">
        <v>1</v>
      </c>
      <c r="CD277" s="19"/>
      <c r="CE277" s="58">
        <v>1</v>
      </c>
      <c r="CF277" s="19"/>
      <c r="CG277" s="19"/>
      <c r="CH277" s="51">
        <v>1</v>
      </c>
      <c r="CI277" s="24" cm="1">
        <f t="array" ref="CI277">SUM(CC277:CH277)</f>
        <v>3</v>
      </c>
      <c r="CJ277" s="19"/>
    </row>
    <row r="278" ht="27.2" customHeight="1">
      <c r="CB278" t="s" s="44">
        <v>101</v>
      </c>
      <c r="CC278" s="55"/>
      <c r="CD278" s="73">
        <v>1</v>
      </c>
      <c r="CE278" s="19"/>
      <c r="CF278" s="19"/>
      <c r="CG278" s="19"/>
      <c r="CH278" s="19"/>
      <c r="CI278" s="24" cm="1">
        <f t="array" ref="CI278">SUM(CC278:CH278)</f>
        <v>1</v>
      </c>
      <c r="CJ278" s="19"/>
    </row>
    <row r="279" ht="27.2" customHeight="1">
      <c r="CB279" t="s" s="32">
        <v>102</v>
      </c>
      <c r="CC279" s="55"/>
      <c r="CD279" s="48"/>
      <c r="CE279" s="19"/>
      <c r="CF279" s="19"/>
      <c r="CG279" s="19"/>
      <c r="CH279" s="51">
        <v>2</v>
      </c>
      <c r="CI279" s="24" cm="1">
        <f t="array" ref="CI279">SUM(CC279:CH279)</f>
        <v>2</v>
      </c>
      <c r="CJ279" s="19"/>
    </row>
    <row r="280" ht="27.2" customHeight="1">
      <c r="CB280" t="s" s="49">
        <v>30</v>
      </c>
      <c r="CC280" s="12" cm="1">
        <f t="array" ref="CC280">SUM(CC251:CC278)</f>
        <v>8</v>
      </c>
      <c r="CD280" s="24" cm="1">
        <f t="array" ref="CD280">SUM(CD251:CD278)</f>
        <v>6</v>
      </c>
      <c r="CE280" s="24" cm="1">
        <f t="array" ref="CE280">SUM(CE251:CE278)</f>
        <v>7</v>
      </c>
      <c r="CF280" s="24" cm="1">
        <f t="array" ref="CF280">SUM(CF251:CF278)</f>
        <v>4</v>
      </c>
      <c r="CG280" s="24" cm="1">
        <f t="array" ref="CG280">SUM(CG251:CG278)</f>
        <v>1</v>
      </c>
      <c r="CH280" s="24" cm="1">
        <f t="array" ref="CH280">SUM(CH251:CH278)</f>
        <v>5</v>
      </c>
      <c r="CI280" t="s" s="14">
        <v>25</v>
      </c>
      <c r="CJ280" s="19"/>
    </row>
    <row r="282" ht="27.65" customHeight="1">
      <c r="CK282" t="s" s="2">
        <v>103</v>
      </c>
      <c r="CL282" s="2"/>
      <c r="CM282" s="2"/>
      <c r="CN282" s="2"/>
      <c r="CO282" s="2"/>
      <c r="CP282" s="2"/>
      <c r="CQ282" s="2"/>
      <c r="CR282" s="2"/>
      <c r="CS282" s="2"/>
      <c r="CT282" s="2"/>
    </row>
    <row r="283" ht="42.3" customHeight="1">
      <c r="CK283" s="35"/>
      <c r="CL283" t="s" s="3">
        <v>95</v>
      </c>
      <c r="CM283" t="s" s="3">
        <v>96</v>
      </c>
      <c r="CN283" t="s" s="3">
        <v>97</v>
      </c>
      <c r="CO283" t="s" s="3">
        <v>98</v>
      </c>
      <c r="CP283" t="s" s="3">
        <v>99</v>
      </c>
      <c r="CQ283" t="s" s="3">
        <v>100</v>
      </c>
      <c r="CR283" t="s" s="3">
        <v>67</v>
      </c>
      <c r="CS283" t="s" s="3">
        <v>68</v>
      </c>
      <c r="CT283" t="s" s="3">
        <v>69</v>
      </c>
    </row>
    <row r="284" ht="26.6" customHeight="1">
      <c r="CK284" t="s" s="6">
        <v>55</v>
      </c>
      <c r="CL284" s="46"/>
      <c r="CM284" s="37"/>
      <c r="CN284" s="37"/>
      <c r="CO284" s="63"/>
      <c r="CP284" s="37"/>
      <c r="CQ284" s="37"/>
      <c r="CR284" s="37"/>
      <c r="CS284" s="37"/>
      <c r="CT284" s="37"/>
    </row>
    <row r="285" ht="26.3" customHeight="1">
      <c r="CK285" t="s" s="11">
        <v>56</v>
      </c>
      <c r="CL285" s="18"/>
      <c r="CM285" s="19"/>
      <c r="CN285" s="19"/>
      <c r="CO285" s="19"/>
      <c r="CP285" s="19"/>
      <c r="CQ285" s="19"/>
      <c r="CR285" s="19"/>
      <c r="CS285" s="19"/>
      <c r="CT285" s="19"/>
    </row>
    <row r="286" ht="26.3" customHeight="1">
      <c r="CK286" t="s" s="11">
        <v>10</v>
      </c>
      <c r="CL286" s="84"/>
      <c r="CM286" s="65"/>
      <c r="CN286" s="65"/>
      <c r="CO286" s="19"/>
      <c r="CP286" s="19"/>
      <c r="CQ286" s="19"/>
      <c r="CR286" s="19"/>
      <c r="CS286" s="19"/>
      <c r="CT286" s="19"/>
    </row>
    <row r="287" ht="26.3" customHeight="1">
      <c r="CK287" t="s" s="11">
        <v>35</v>
      </c>
      <c r="CL287" s="18"/>
      <c r="CM287" s="19"/>
      <c r="CN287" s="19"/>
      <c r="CO287" s="19"/>
      <c r="CP287" s="19"/>
      <c r="CQ287" s="19"/>
      <c r="CR287" s="19"/>
      <c r="CS287" s="19"/>
      <c r="CT287" s="19"/>
    </row>
    <row r="288" ht="26.3" customHeight="1">
      <c r="CK288" t="s" s="11">
        <v>16</v>
      </c>
      <c r="CL288" s="18"/>
      <c r="CM288" s="19"/>
      <c r="CN288" s="19"/>
      <c r="CO288" s="19"/>
      <c r="CP288" s="19"/>
      <c r="CQ288" s="19"/>
      <c r="CR288" s="19"/>
      <c r="CS288" s="19"/>
      <c r="CT288" s="19"/>
    </row>
    <row r="289" ht="42.05" customHeight="1">
      <c r="CK289" t="s" s="11">
        <v>17</v>
      </c>
      <c r="CL289" s="18"/>
      <c r="CM289" s="19"/>
      <c r="CN289" s="19"/>
      <c r="CO289" s="19"/>
      <c r="CP289" s="19"/>
      <c r="CQ289" s="19"/>
      <c r="CR289" s="19"/>
      <c r="CS289" s="19"/>
      <c r="CT289" s="19"/>
    </row>
    <row r="290" ht="26.3" customHeight="1">
      <c r="CK290" t="s" s="11">
        <v>18</v>
      </c>
      <c r="CL290" s="84"/>
      <c r="CM290" s="65"/>
      <c r="CN290" s="65"/>
      <c r="CO290" s="85"/>
      <c r="CP290" s="85"/>
      <c r="CQ290" s="19"/>
      <c r="CR290" s="19"/>
      <c r="CS290" s="19"/>
      <c r="CT290" s="19"/>
    </row>
    <row r="291" ht="26.3" customHeight="1">
      <c r="CK291" t="s" s="11">
        <v>19</v>
      </c>
      <c r="CL291" s="18"/>
      <c r="CM291" s="19"/>
      <c r="CN291" s="19"/>
      <c r="CO291" s="19"/>
      <c r="CP291" s="19"/>
      <c r="CQ291" s="19"/>
      <c r="CR291" s="19"/>
      <c r="CS291" s="19"/>
      <c r="CT291" s="19"/>
    </row>
    <row r="292" ht="26.3" customHeight="1">
      <c r="CK292" t="s" s="11">
        <v>20</v>
      </c>
      <c r="CL292" s="84"/>
      <c r="CM292" s="19"/>
      <c r="CN292" s="65"/>
      <c r="CO292" s="19"/>
      <c r="CP292" s="19"/>
      <c r="CQ292" s="19"/>
      <c r="CR292" s="19"/>
      <c r="CS292" s="19"/>
      <c r="CT292" s="19"/>
    </row>
    <row r="293" ht="26.3" customHeight="1">
      <c r="CK293" t="s" s="64">
        <v>21</v>
      </c>
      <c r="CL293" s="66"/>
      <c r="CM293" s="19"/>
      <c r="CN293" s="19"/>
      <c r="CO293" s="19"/>
      <c r="CP293" s="19"/>
      <c r="CQ293" s="19"/>
      <c r="CR293" s="19"/>
      <c r="CS293" s="19"/>
      <c r="CT293" s="19"/>
    </row>
    <row r="294" ht="26.3" customHeight="1">
      <c r="CK294" t="s" s="11">
        <v>22</v>
      </c>
      <c r="CL294" s="18"/>
      <c r="CM294" s="65"/>
      <c r="CN294" s="65"/>
      <c r="CO294" s="19"/>
      <c r="CP294" s="19"/>
      <c r="CQ294" s="19"/>
      <c r="CR294" s="19"/>
      <c r="CS294" s="19"/>
      <c r="CT294" s="19"/>
    </row>
    <row r="295" ht="26.3" customHeight="1">
      <c r="CK295" t="s" s="11">
        <v>27</v>
      </c>
      <c r="CL295" s="66"/>
      <c r="CM295" s="19"/>
      <c r="CN295" s="19"/>
      <c r="CO295" s="19"/>
      <c r="CP295" s="19"/>
      <c r="CQ295" s="19"/>
      <c r="CR295" s="19"/>
      <c r="CS295" s="19"/>
      <c r="CT295" s="19"/>
    </row>
    <row r="296" ht="26.3" customHeight="1">
      <c r="CK296" t="s" s="11">
        <v>42</v>
      </c>
      <c r="CL296" s="18"/>
      <c r="CM296" s="19"/>
      <c r="CN296" s="19"/>
      <c r="CO296" s="19"/>
      <c r="CP296" s="19"/>
      <c r="CQ296" s="19"/>
      <c r="CR296" s="19"/>
      <c r="CS296" s="19"/>
      <c r="CT296" s="19"/>
    </row>
    <row r="297" ht="26.3" customHeight="1">
      <c r="CK297" t="s" s="11">
        <v>43</v>
      </c>
      <c r="CL297" s="18"/>
      <c r="CM297" s="19"/>
      <c r="CN297" s="19"/>
      <c r="CO297" s="19"/>
      <c r="CP297" s="19"/>
      <c r="CQ297" s="19"/>
      <c r="CR297" s="19"/>
      <c r="CS297" s="19"/>
      <c r="CT297" s="19"/>
    </row>
    <row r="298" ht="26.3" customHeight="1">
      <c r="CK298" t="s" s="11">
        <v>41</v>
      </c>
      <c r="CL298" s="18"/>
      <c r="CM298" s="19"/>
      <c r="CN298" s="19"/>
      <c r="CO298" s="19"/>
      <c r="CP298" s="19"/>
      <c r="CQ298" s="19"/>
      <c r="CR298" s="19"/>
      <c r="CS298" s="19"/>
      <c r="CT298" s="19"/>
    </row>
    <row r="299" ht="26.3" customHeight="1">
      <c r="CK299" t="s" s="11">
        <v>32</v>
      </c>
      <c r="CL299" s="18"/>
      <c r="CM299" s="19"/>
      <c r="CN299" s="19"/>
      <c r="CO299" s="19"/>
      <c r="CP299" s="19"/>
      <c r="CQ299" s="19"/>
      <c r="CR299" s="19"/>
      <c r="CS299" s="19"/>
      <c r="CT299" s="19"/>
    </row>
    <row r="300" ht="26.3" customHeight="1">
      <c r="CK300" s="17"/>
      <c r="CL300" s="18"/>
      <c r="CM300" s="19"/>
      <c r="CN300" s="19"/>
      <c r="CO300" s="19"/>
      <c r="CP300" s="19"/>
      <c r="CQ300" s="19"/>
      <c r="CR300" s="19"/>
      <c r="CS300" s="19"/>
      <c r="CT300" s="19"/>
    </row>
    <row r="301" ht="26.3" customHeight="1">
      <c r="CK301" t="s" s="44">
        <v>70</v>
      </c>
      <c r="CL301" s="18"/>
      <c r="CM301" s="19"/>
      <c r="CN301" s="19"/>
      <c r="CO301" s="19"/>
      <c r="CP301" s="19"/>
      <c r="CQ301" s="19"/>
      <c r="CR301" s="19"/>
      <c r="CS301" s="19"/>
      <c r="CT301" s="19"/>
    </row>
    <row r="302" ht="26.3" customHeight="1">
      <c r="CK302" t="s" s="44">
        <v>58</v>
      </c>
      <c r="CL302" s="18"/>
      <c r="CM302" s="19"/>
      <c r="CN302" s="19"/>
      <c r="CO302" s="19"/>
      <c r="CP302" s="19"/>
      <c r="CQ302" s="19"/>
      <c r="CR302" s="19"/>
      <c r="CS302" s="19"/>
      <c r="CT302" s="19"/>
    </row>
    <row r="303" ht="26.3" customHeight="1">
      <c r="CK303" t="s" s="44">
        <v>59</v>
      </c>
      <c r="CL303" s="18"/>
      <c r="CM303" s="19"/>
      <c r="CN303" s="19"/>
      <c r="CO303" s="19"/>
      <c r="CP303" s="19"/>
      <c r="CQ303" s="19"/>
      <c r="CR303" s="19"/>
      <c r="CS303" s="19"/>
      <c r="CT303" s="19"/>
    </row>
    <row r="304" ht="38.7" customHeight="1">
      <c r="CK304" t="s" s="64">
        <v>45</v>
      </c>
      <c r="CL304" s="18"/>
      <c r="CM304" s="65"/>
      <c r="CN304" s="19"/>
      <c r="CO304" s="19"/>
      <c r="CP304" s="19"/>
      <c r="CQ304" s="19"/>
      <c r="CR304" s="19"/>
      <c r="CS304" s="19"/>
      <c r="CT304" s="19"/>
    </row>
    <row r="305" ht="42" customHeight="1">
      <c r="CK305" t="s" s="64">
        <v>46</v>
      </c>
      <c r="CL305" s="18"/>
      <c r="CM305" s="65"/>
      <c r="CN305" s="19"/>
      <c r="CO305" s="19"/>
      <c r="CP305" s="19"/>
      <c r="CQ305" s="19"/>
      <c r="CR305" s="19"/>
      <c r="CS305" s="19"/>
      <c r="CT305" s="19"/>
    </row>
    <row r="306" ht="26.3" customHeight="1">
      <c r="CK306" t="s" s="21">
        <v>47</v>
      </c>
      <c r="CL306" s="18"/>
      <c r="CM306" s="19"/>
      <c r="CN306" s="65"/>
      <c r="CO306" s="19"/>
      <c r="CP306" s="19"/>
      <c r="CQ306" s="19"/>
      <c r="CR306" s="19"/>
      <c r="CS306" s="19"/>
      <c r="CT306" s="19"/>
    </row>
    <row r="307" ht="26.3" customHeight="1">
      <c r="CK307" t="s" s="21">
        <v>48</v>
      </c>
      <c r="CL307" s="66"/>
      <c r="CM307" s="19"/>
      <c r="CN307" s="65"/>
      <c r="CO307" s="19"/>
      <c r="CP307" s="19"/>
      <c r="CQ307" s="19"/>
      <c r="CR307" s="19"/>
      <c r="CS307" s="19"/>
      <c r="CT307" s="19"/>
    </row>
    <row r="308" ht="26.3" customHeight="1">
      <c r="CK308" t="s" s="21">
        <v>49</v>
      </c>
      <c r="CL308" s="66"/>
      <c r="CM308" s="19"/>
      <c r="CN308" s="65"/>
      <c r="CO308" s="19"/>
      <c r="CP308" s="19"/>
      <c r="CQ308" s="19"/>
      <c r="CR308" s="19"/>
      <c r="CS308" s="19"/>
      <c r="CT308" s="19"/>
    </row>
    <row r="309" ht="26.3" customHeight="1">
      <c r="CK309" t="s" s="64">
        <v>50</v>
      </c>
      <c r="CL309" s="18"/>
      <c r="CM309" s="19"/>
      <c r="CN309" s="19"/>
      <c r="CO309" s="19"/>
      <c r="CP309" s="19"/>
      <c r="CQ309" s="19"/>
      <c r="CR309" s="19"/>
      <c r="CS309" s="19"/>
      <c r="CT309" s="19"/>
    </row>
    <row r="310" ht="26.3" customHeight="1">
      <c r="CK310" t="s" s="64">
        <v>52</v>
      </c>
      <c r="CL310" s="18"/>
      <c r="CM310" s="19"/>
      <c r="CN310" s="19"/>
      <c r="CO310" s="19"/>
      <c r="CP310" s="19"/>
      <c r="CQ310" s="19"/>
      <c r="CR310" s="19"/>
      <c r="CS310" s="19"/>
      <c r="CT310" s="19"/>
    </row>
    <row r="311" ht="50.5" customHeight="1">
      <c r="CK311" t="s" s="64">
        <v>51</v>
      </c>
      <c r="CL311" s="18"/>
      <c r="CM311" s="19"/>
      <c r="CN311" s="19"/>
      <c r="CO311" s="19"/>
      <c r="CP311" s="19"/>
      <c r="CQ311" s="19"/>
      <c r="CR311" s="19"/>
      <c r="CS311" s="19"/>
      <c r="CT311" s="19"/>
    </row>
    <row r="312" ht="50.5" customHeight="1">
      <c r="CK312" t="s" s="44">
        <v>101</v>
      </c>
      <c r="CL312" s="18"/>
      <c r="CM312" s="68"/>
      <c r="CN312" s="19"/>
      <c r="CO312" s="19"/>
      <c r="CP312" s="19"/>
      <c r="CQ312" s="19"/>
      <c r="CR312" s="19"/>
      <c r="CS312" s="19"/>
      <c r="CT312" s="19"/>
    </row>
    <row r="313" ht="20.05" customHeight="1">
      <c r="CK313" t="s" s="49">
        <v>30</v>
      </c>
      <c r="CL313" s="12" cm="1">
        <f t="array" ref="CL313">SUM(CL286:CL311)</f>
        <v>0</v>
      </c>
      <c r="CM313" s="24" cm="1">
        <f t="array" ref="CM313">SUM(CM286:CM311)</f>
        <v>0</v>
      </c>
      <c r="CN313" s="24" cm="1">
        <f t="array" ref="CN313">SUM(CN286:CN311)</f>
        <v>0</v>
      </c>
      <c r="CO313" s="24" cm="1">
        <f t="array" ref="CO313">SUM(CO286:CO311)</f>
        <v>0</v>
      </c>
      <c r="CP313" s="24" cm="1">
        <f t="array" ref="CP313">SUM(CP286:CP311)</f>
        <v>0</v>
      </c>
      <c r="CQ313" s="24" cm="1">
        <f t="array" ref="CQ313">SUM(CQ286:CQ311)</f>
        <v>0</v>
      </c>
      <c r="CR313" t="s" s="14">
        <v>25</v>
      </c>
      <c r="CS313" s="24" cm="1">
        <f t="array" ref="CS313">SUM(CS286:CS311)</f>
        <v>0</v>
      </c>
      <c r="CT313" s="24" cm="1">
        <f t="array" ref="CT313">SUM(CT286:CT311)</f>
        <v>0</v>
      </c>
    </row>
    <row r="315" ht="27.65" customHeight="1">
      <c r="CU315" t="s" s="2">
        <v>104</v>
      </c>
      <c r="CV315" s="2"/>
      <c r="CW315" s="2"/>
      <c r="CX315" s="2"/>
      <c r="CY315" s="2"/>
      <c r="CZ315" s="2"/>
      <c r="DA315" s="2"/>
      <c r="DB315" s="2"/>
    </row>
    <row r="316" ht="41.95" customHeight="1">
      <c r="CU316" s="35"/>
      <c r="CV316" t="s" s="3">
        <v>105</v>
      </c>
      <c r="CW316" t="s" s="3">
        <v>106</v>
      </c>
      <c r="CX316" t="s" s="3">
        <v>107</v>
      </c>
      <c r="CY316" t="s" s="3">
        <v>108</v>
      </c>
      <c r="CZ316" t="s" s="3">
        <v>67</v>
      </c>
      <c r="DA316" t="s" s="3">
        <v>68</v>
      </c>
      <c r="DB316" t="s" s="3">
        <v>69</v>
      </c>
    </row>
    <row r="317" ht="26.35" customHeight="1">
      <c r="CU317" t="s" s="6">
        <v>55</v>
      </c>
      <c r="CV317" s="46"/>
      <c r="CW317" s="37"/>
      <c r="CX317" s="37"/>
      <c r="CY317" s="37"/>
      <c r="CZ317" s="37"/>
      <c r="DA317" s="37"/>
      <c r="DB317" s="37"/>
    </row>
    <row r="318" ht="26.1" customHeight="1">
      <c r="CU318" t="s" s="11">
        <v>56</v>
      </c>
      <c r="CV318" s="18"/>
      <c r="CW318" s="19"/>
      <c r="CX318" s="19"/>
      <c r="CY318" s="19"/>
      <c r="CZ318" s="19"/>
      <c r="DA318" s="19"/>
      <c r="DB318" s="19"/>
    </row>
    <row r="319" ht="26.1" customHeight="1">
      <c r="CU319" t="s" s="11">
        <v>10</v>
      </c>
      <c r="CV319" s="18"/>
      <c r="CW319" s="19"/>
      <c r="CX319" s="19"/>
      <c r="CY319" s="19"/>
      <c r="CZ319" s="19"/>
      <c r="DA319" s="19"/>
      <c r="DB319" s="19"/>
    </row>
    <row r="320" ht="26.1" customHeight="1">
      <c r="CU320" t="s" s="11">
        <v>35</v>
      </c>
      <c r="CV320" s="18"/>
      <c r="CW320" s="19"/>
      <c r="CX320" s="19"/>
      <c r="CY320" s="19"/>
      <c r="CZ320" s="19"/>
      <c r="DA320" s="19"/>
      <c r="DB320" s="19"/>
    </row>
    <row r="321" ht="26.1" customHeight="1">
      <c r="CU321" t="s" s="11">
        <v>16</v>
      </c>
      <c r="CV321" s="18"/>
      <c r="CW321" s="19"/>
      <c r="CX321" s="19"/>
      <c r="CY321" s="19"/>
      <c r="CZ321" s="19"/>
      <c r="DA321" s="19"/>
      <c r="DB321" s="19"/>
    </row>
    <row r="322" ht="41.7" customHeight="1">
      <c r="CU322" t="s" s="11">
        <v>17</v>
      </c>
      <c r="CV322" s="18"/>
      <c r="CW322" s="19"/>
      <c r="CX322" s="19"/>
      <c r="CY322" s="19"/>
      <c r="CZ322" s="19"/>
      <c r="DA322" s="19"/>
      <c r="DB322" s="19"/>
    </row>
    <row r="323" ht="26.1" customHeight="1">
      <c r="CU323" t="s" s="11">
        <v>18</v>
      </c>
      <c r="CV323" s="18"/>
      <c r="CW323" s="19"/>
      <c r="CX323" s="19"/>
      <c r="CY323" s="19"/>
      <c r="CZ323" s="19"/>
      <c r="DA323" s="19"/>
      <c r="DB323" s="19"/>
    </row>
    <row r="324" ht="26.1" customHeight="1">
      <c r="CU324" t="s" s="11">
        <v>19</v>
      </c>
      <c r="CV324" s="18"/>
      <c r="CW324" s="19"/>
      <c r="CX324" s="19"/>
      <c r="CY324" s="19"/>
      <c r="CZ324" s="19"/>
      <c r="DA324" s="19"/>
      <c r="DB324" s="19"/>
    </row>
    <row r="325" ht="26.1" customHeight="1">
      <c r="CU325" t="s" s="11">
        <v>20</v>
      </c>
      <c r="CV325" s="18"/>
      <c r="CW325" s="19"/>
      <c r="CX325" s="19"/>
      <c r="CY325" s="19"/>
      <c r="CZ325" s="19"/>
      <c r="DA325" s="19"/>
      <c r="DB325" s="19"/>
    </row>
    <row r="326" ht="26.1" customHeight="1">
      <c r="CU326" t="s" s="64">
        <v>21</v>
      </c>
      <c r="CV326" s="18"/>
      <c r="CW326" s="19"/>
      <c r="CX326" s="19"/>
      <c r="CY326" s="19"/>
      <c r="CZ326" s="19"/>
      <c r="DA326" s="19"/>
      <c r="DB326" s="19"/>
    </row>
    <row r="327" ht="26.1" customHeight="1">
      <c r="CU327" t="s" s="11">
        <v>22</v>
      </c>
      <c r="CV327" s="18"/>
      <c r="CW327" s="19"/>
      <c r="CX327" s="19"/>
      <c r="CY327" s="19"/>
      <c r="CZ327" s="19"/>
      <c r="DA327" s="19"/>
      <c r="DB327" s="19"/>
    </row>
    <row r="328" ht="26.1" customHeight="1">
      <c r="CU328" t="s" s="11">
        <v>27</v>
      </c>
      <c r="CV328" s="18"/>
      <c r="CW328" s="19"/>
      <c r="CX328" s="19"/>
      <c r="CY328" s="19"/>
      <c r="CZ328" s="19"/>
      <c r="DA328" s="19"/>
      <c r="DB328" s="19"/>
    </row>
    <row r="329" ht="26.1" customHeight="1">
      <c r="CU329" t="s" s="11">
        <v>42</v>
      </c>
      <c r="CV329" s="18"/>
      <c r="CW329" s="19"/>
      <c r="CX329" s="19"/>
      <c r="CY329" s="19"/>
      <c r="CZ329" s="19"/>
      <c r="DA329" s="19"/>
      <c r="DB329" s="19"/>
    </row>
    <row r="330" ht="26.1" customHeight="1">
      <c r="CU330" t="s" s="11">
        <v>43</v>
      </c>
      <c r="CV330" s="18"/>
      <c r="CW330" s="19"/>
      <c r="CX330" s="19"/>
      <c r="CY330" s="19"/>
      <c r="CZ330" s="19"/>
      <c r="DA330" s="19"/>
      <c r="DB330" s="19"/>
    </row>
    <row r="331" ht="26.1" customHeight="1">
      <c r="CU331" t="s" s="11">
        <v>41</v>
      </c>
      <c r="CV331" s="18"/>
      <c r="CW331" s="19"/>
      <c r="CX331" s="19"/>
      <c r="CY331" s="19"/>
      <c r="CZ331" s="19"/>
      <c r="DA331" s="19"/>
      <c r="DB331" s="19"/>
    </row>
    <row r="332" ht="26.1" customHeight="1">
      <c r="CU332" t="s" s="11">
        <v>32</v>
      </c>
      <c r="CV332" s="18"/>
      <c r="CW332" s="19"/>
      <c r="CX332" s="19"/>
      <c r="CY332" s="19"/>
      <c r="CZ332" s="19"/>
      <c r="DA332" s="19"/>
      <c r="DB332" s="19"/>
    </row>
    <row r="333" ht="26.1" customHeight="1">
      <c r="CU333" s="17"/>
      <c r="CV333" s="18"/>
      <c r="CW333" s="19"/>
      <c r="CX333" s="19"/>
      <c r="CY333" s="19"/>
      <c r="CZ333" s="19"/>
      <c r="DA333" s="19"/>
      <c r="DB333" s="19"/>
    </row>
    <row r="334" ht="26.1" customHeight="1">
      <c r="CU334" t="s" s="44">
        <v>70</v>
      </c>
      <c r="CV334" s="18"/>
      <c r="CW334" s="19"/>
      <c r="CX334" s="19"/>
      <c r="CY334" s="19"/>
      <c r="CZ334" s="19"/>
      <c r="DA334" s="19"/>
      <c r="DB334" s="19"/>
    </row>
    <row r="335" ht="26.1" customHeight="1">
      <c r="CU335" t="s" s="44">
        <v>58</v>
      </c>
      <c r="CV335" s="18"/>
      <c r="CW335" s="19"/>
      <c r="CX335" s="19"/>
      <c r="CY335" s="19"/>
      <c r="CZ335" s="19"/>
      <c r="DA335" s="19"/>
      <c r="DB335" s="19"/>
    </row>
    <row r="336" ht="26.1" customHeight="1">
      <c r="CU336" t="s" s="44">
        <v>71</v>
      </c>
      <c r="CV336" s="18"/>
      <c r="CW336" s="19"/>
      <c r="CX336" s="19"/>
      <c r="CY336" s="19"/>
      <c r="CZ336" s="19"/>
      <c r="DA336" s="19"/>
      <c r="DB336" s="19"/>
    </row>
    <row r="337" ht="38.4" customHeight="1">
      <c r="CU337" t="s" s="64">
        <v>45</v>
      </c>
      <c r="CV337" s="18"/>
      <c r="CW337" s="19"/>
      <c r="CX337" s="19"/>
      <c r="CY337" s="19"/>
      <c r="CZ337" s="19"/>
      <c r="DA337" s="19"/>
      <c r="DB337" s="19"/>
    </row>
    <row r="338" ht="41.7" customHeight="1">
      <c r="CU338" t="s" s="64">
        <v>46</v>
      </c>
      <c r="CV338" s="18"/>
      <c r="CW338" s="19"/>
      <c r="CX338" s="19"/>
      <c r="CY338" s="19"/>
      <c r="CZ338" s="19"/>
      <c r="DA338" s="19"/>
      <c r="DB338" s="19"/>
    </row>
    <row r="339" ht="26.1" customHeight="1">
      <c r="CU339" t="s" s="21">
        <v>47</v>
      </c>
      <c r="CV339" s="18"/>
      <c r="CW339" s="19"/>
      <c r="CX339" s="19"/>
      <c r="CY339" s="19"/>
      <c r="CZ339" s="19"/>
      <c r="DA339" s="19"/>
      <c r="DB339" s="19"/>
    </row>
    <row r="340" ht="26.1" customHeight="1">
      <c r="CU340" t="s" s="21">
        <v>48</v>
      </c>
      <c r="CV340" s="18"/>
      <c r="CW340" s="19"/>
      <c r="CX340" s="19"/>
      <c r="CY340" s="19"/>
      <c r="CZ340" s="19"/>
      <c r="DA340" s="19"/>
      <c r="DB340" s="19"/>
    </row>
    <row r="341" ht="26.1" customHeight="1">
      <c r="CU341" t="s" s="21">
        <v>49</v>
      </c>
      <c r="CV341" s="18"/>
      <c r="CW341" s="19"/>
      <c r="CX341" s="19"/>
      <c r="CY341" s="19"/>
      <c r="CZ341" s="19"/>
      <c r="DA341" s="19"/>
      <c r="DB341" s="19"/>
    </row>
    <row r="342" ht="26.1" customHeight="1">
      <c r="CU342" t="s" s="64">
        <v>50</v>
      </c>
      <c r="CV342" s="18"/>
      <c r="CW342" s="19"/>
      <c r="CX342" s="19"/>
      <c r="CY342" s="19"/>
      <c r="CZ342" s="19"/>
      <c r="DA342" s="19"/>
      <c r="DB342" s="19"/>
    </row>
    <row r="343" ht="26.1" customHeight="1">
      <c r="CU343" t="s" s="64">
        <v>52</v>
      </c>
      <c r="CV343" s="18"/>
      <c r="CW343" s="19"/>
      <c r="CX343" s="19"/>
      <c r="CY343" s="19"/>
      <c r="CZ343" s="19"/>
      <c r="DA343" s="19"/>
      <c r="DB343" s="19"/>
    </row>
    <row r="344" ht="26.1" customHeight="1">
      <c r="CU344" t="s" s="64">
        <v>51</v>
      </c>
      <c r="CV344" s="18"/>
      <c r="CW344" s="19"/>
      <c r="CX344" s="19"/>
      <c r="CY344" s="19"/>
      <c r="CZ344" s="19"/>
      <c r="DA344" s="19"/>
      <c r="DB344" s="19"/>
    </row>
  </sheetData>
  <mergeCells count="17">
    <mergeCell ref="A1:M1"/>
    <mergeCell ref="B27:H27"/>
    <mergeCell ref="B29:H29"/>
    <mergeCell ref="N43:V43"/>
    <mergeCell ref="W73:AF73"/>
    <mergeCell ref="X75:AF98"/>
    <mergeCell ref="AG100:AO100"/>
    <mergeCell ref="AP125:AX125"/>
    <mergeCell ref="AY156:BH156"/>
    <mergeCell ref="AZ158:BE169"/>
    <mergeCell ref="AZ175:BE176"/>
    <mergeCell ref="BI187:BQ187"/>
    <mergeCell ref="BR217:CA217"/>
    <mergeCell ref="BS228:BX228"/>
    <mergeCell ref="CB249:CJ249"/>
    <mergeCell ref="CK282:CT282"/>
    <mergeCell ref="CU315:DB31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DJ44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0" style="87" customWidth="1"/>
    <col min="2" max="7" width="16.3516" style="87" customWidth="1"/>
    <col min="8" max="8" width="15.8594" style="87" customWidth="1"/>
    <col min="9" max="14" width="16.625" style="87" customWidth="1"/>
    <col min="15" max="15" width="30.3672" style="113" customWidth="1"/>
    <col min="16" max="19" width="16.3516" style="113" customWidth="1"/>
    <col min="20" max="20" width="24.8125" style="121" customWidth="1"/>
    <col min="21" max="29" width="17.6719" style="121" customWidth="1"/>
    <col min="30" max="30" width="28.1172" style="129" customWidth="1"/>
    <col min="31" max="38" width="19.4375" style="129" customWidth="1"/>
    <col min="39" max="39" width="24.8125" style="135" customWidth="1"/>
    <col min="40" max="48" width="17.6719" style="135" customWidth="1"/>
    <col min="49" max="49" width="28.6953" style="138" customWidth="1"/>
    <col min="50" max="57" width="19.0703" style="138" customWidth="1"/>
    <col min="58" max="58" width="24.8125" style="144" customWidth="1"/>
    <col min="59" max="67" width="17.6719" style="144" customWidth="1"/>
    <col min="68" max="68" width="27.4297" style="146" customWidth="1"/>
    <col min="69" max="76" width="19.5078" style="146" customWidth="1"/>
    <col min="77" max="77" width="29.8516" style="148" customWidth="1"/>
    <col min="78" max="85" width="19.5938" style="148" customWidth="1"/>
    <col min="86" max="86" width="24.8125" style="152" customWidth="1"/>
    <col min="87" max="95" width="17.6719" style="152" customWidth="1"/>
    <col min="96" max="96" width="29.8516" style="154" customWidth="1"/>
    <col min="97" max="104" width="19.5938" style="154" customWidth="1"/>
    <col min="105" max="105" width="24.8125" style="156" customWidth="1"/>
    <col min="106" max="114" width="17.6719" style="156" customWidth="1"/>
    <col min="115" max="16384" width="16.3516" style="156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s="4"/>
      <c r="C2" t="s" s="3">
        <v>2</v>
      </c>
      <c r="D2" t="s" s="3">
        <v>3</v>
      </c>
      <c r="E2" t="s" s="3">
        <v>4</v>
      </c>
      <c r="F2" s="5">
        <v>45901</v>
      </c>
      <c r="G2" s="5">
        <v>45931</v>
      </c>
      <c r="H2" s="5">
        <v>45962</v>
      </c>
      <c r="I2" s="5">
        <v>45992</v>
      </c>
      <c r="J2" t="s" s="3">
        <v>5</v>
      </c>
      <c r="K2" t="s" s="3">
        <v>6</v>
      </c>
      <c r="L2" t="s" s="3">
        <v>7</v>
      </c>
      <c r="M2" t="s" s="3">
        <v>8</v>
      </c>
      <c r="N2" t="s" s="3">
        <v>9</v>
      </c>
    </row>
    <row r="3" ht="25.55" customHeight="1">
      <c r="A3" t="s" s="88">
        <v>10</v>
      </c>
      <c r="B3" s="7">
        <v>1</v>
      </c>
      <c r="C3" s="89">
        <v>720</v>
      </c>
      <c r="D3" s="89">
        <v>945</v>
      </c>
      <c r="E3" t="s" s="9">
        <v>23</v>
      </c>
      <c r="F3" s="90">
        <v>945</v>
      </c>
      <c r="G3" s="90">
        <v>945</v>
      </c>
      <c r="H3" s="90">
        <v>945</v>
      </c>
      <c r="I3" s="91">
        <v>0</v>
      </c>
      <c r="J3" t="s" s="9">
        <v>12</v>
      </c>
      <c r="K3" t="s" s="9">
        <v>13</v>
      </c>
      <c r="L3" t="s" s="9">
        <v>12</v>
      </c>
      <c r="M3" t="s" s="9">
        <v>14</v>
      </c>
      <c r="N3" t="s" s="9">
        <v>15</v>
      </c>
    </row>
    <row r="4" ht="25.35" customHeight="1">
      <c r="A4" t="s" s="11">
        <v>16</v>
      </c>
      <c r="B4" s="12">
        <v>2</v>
      </c>
      <c r="C4" s="92">
        <v>0</v>
      </c>
      <c r="D4" s="92">
        <v>945</v>
      </c>
      <c r="E4" t="s" s="14">
        <v>11</v>
      </c>
      <c r="F4" s="93">
        <v>945</v>
      </c>
      <c r="G4" s="93">
        <v>945</v>
      </c>
      <c r="H4" s="93">
        <v>945</v>
      </c>
      <c r="I4" s="94">
        <v>0</v>
      </c>
      <c r="J4" t="s" s="14">
        <v>12</v>
      </c>
      <c r="K4" t="s" s="14">
        <v>13</v>
      </c>
      <c r="L4" t="s" s="14">
        <v>12</v>
      </c>
      <c r="M4" t="s" s="14">
        <v>14</v>
      </c>
      <c r="N4" t="s" s="14">
        <v>15</v>
      </c>
    </row>
    <row r="5" ht="25.35" customHeight="1">
      <c r="A5" t="s" s="11">
        <v>17</v>
      </c>
      <c r="B5" s="12">
        <v>3</v>
      </c>
      <c r="C5" s="92">
        <v>720</v>
      </c>
      <c r="D5" s="92">
        <v>945</v>
      </c>
      <c r="E5" t="s" s="14">
        <v>11</v>
      </c>
      <c r="F5" s="93">
        <v>945</v>
      </c>
      <c r="G5" s="93">
        <v>945</v>
      </c>
      <c r="H5" s="93">
        <v>945</v>
      </c>
      <c r="I5" s="93">
        <v>945</v>
      </c>
      <c r="J5" t="s" s="14">
        <v>12</v>
      </c>
      <c r="K5" t="s" s="14">
        <v>13</v>
      </c>
      <c r="L5" t="s" s="14">
        <v>12</v>
      </c>
      <c r="M5" t="s" s="14">
        <v>14</v>
      </c>
      <c r="N5" t="s" s="14">
        <v>15</v>
      </c>
    </row>
    <row r="6" ht="25.35" customHeight="1">
      <c r="A6" t="s" s="11">
        <v>18</v>
      </c>
      <c r="B6" s="12">
        <v>3</v>
      </c>
      <c r="C6" s="92">
        <v>720</v>
      </c>
      <c r="D6" s="92">
        <v>945</v>
      </c>
      <c r="E6" t="s" s="14">
        <v>11</v>
      </c>
      <c r="F6" s="93">
        <v>945</v>
      </c>
      <c r="G6" s="93">
        <v>945</v>
      </c>
      <c r="H6" s="93">
        <v>945</v>
      </c>
      <c r="I6" s="93">
        <v>945</v>
      </c>
      <c r="J6" t="s" s="14">
        <v>12</v>
      </c>
      <c r="K6" t="s" s="14">
        <v>13</v>
      </c>
      <c r="L6" t="s" s="14">
        <v>12</v>
      </c>
      <c r="M6" t="s" s="14">
        <v>14</v>
      </c>
      <c r="N6" t="s" s="14">
        <v>15</v>
      </c>
    </row>
    <row r="7" ht="25.35" customHeight="1">
      <c r="A7" t="s" s="11">
        <v>19</v>
      </c>
      <c r="B7" s="12">
        <v>5</v>
      </c>
      <c r="C7" s="92">
        <v>500</v>
      </c>
      <c r="D7" s="92">
        <v>995</v>
      </c>
      <c r="E7" t="s" s="14">
        <v>11</v>
      </c>
      <c r="F7" s="93">
        <v>995</v>
      </c>
      <c r="G7" s="93">
        <v>995</v>
      </c>
      <c r="H7" s="94">
        <v>0</v>
      </c>
      <c r="I7" s="94">
        <v>0</v>
      </c>
      <c r="J7" t="s" s="14">
        <v>12</v>
      </c>
      <c r="K7" t="s" s="14">
        <v>13</v>
      </c>
      <c r="L7" t="s" s="14">
        <v>12</v>
      </c>
      <c r="M7" t="s" s="14">
        <v>14</v>
      </c>
      <c r="N7" t="s" s="14">
        <v>15</v>
      </c>
    </row>
    <row r="8" ht="25.35" customHeight="1">
      <c r="A8" t="s" s="11">
        <v>20</v>
      </c>
      <c r="B8" s="12">
        <v>11</v>
      </c>
      <c r="C8" s="92">
        <v>500</v>
      </c>
      <c r="D8" s="92">
        <v>945</v>
      </c>
      <c r="E8" t="s" s="14">
        <v>11</v>
      </c>
      <c r="F8" s="93">
        <v>945</v>
      </c>
      <c r="G8" s="93">
        <v>945</v>
      </c>
      <c r="H8" s="93">
        <v>945</v>
      </c>
      <c r="I8" s="94">
        <v>0</v>
      </c>
      <c r="J8" t="s" s="14">
        <v>12</v>
      </c>
      <c r="K8" t="s" s="14">
        <v>13</v>
      </c>
      <c r="L8" t="s" s="14">
        <v>12</v>
      </c>
      <c r="M8" t="s" s="14">
        <v>14</v>
      </c>
      <c r="N8" t="s" s="14">
        <v>15</v>
      </c>
    </row>
    <row r="9" ht="25.35" customHeight="1">
      <c r="A9" t="s" s="11">
        <v>21</v>
      </c>
      <c r="B9" s="12">
        <v>13</v>
      </c>
      <c r="C9" s="92">
        <v>720</v>
      </c>
      <c r="D9" s="92">
        <v>945</v>
      </c>
      <c r="E9" t="s" s="14">
        <v>11</v>
      </c>
      <c r="F9" s="93">
        <v>945</v>
      </c>
      <c r="G9" s="93">
        <v>945</v>
      </c>
      <c r="H9" s="93">
        <v>945</v>
      </c>
      <c r="I9" s="94">
        <v>0</v>
      </c>
      <c r="J9" t="s" s="14">
        <v>12</v>
      </c>
      <c r="K9" t="s" s="14">
        <v>13</v>
      </c>
      <c r="L9" t="s" s="14">
        <v>12</v>
      </c>
      <c r="M9" t="s" s="14">
        <v>14</v>
      </c>
      <c r="N9" t="s" s="14">
        <v>15</v>
      </c>
    </row>
    <row r="10" ht="25.35" customHeight="1">
      <c r="A10" t="s" s="95">
        <v>22</v>
      </c>
      <c r="B10" s="12">
        <v>20</v>
      </c>
      <c r="C10" s="92">
        <v>90</v>
      </c>
      <c r="D10" s="92">
        <v>945</v>
      </c>
      <c r="E10" t="s" s="14">
        <v>23</v>
      </c>
      <c r="F10" s="93">
        <v>945</v>
      </c>
      <c r="G10" s="94">
        <v>0</v>
      </c>
      <c r="H10" s="94">
        <v>0</v>
      </c>
      <c r="I10" s="96">
        <v>0</v>
      </c>
      <c r="J10" t="s" s="14">
        <v>12</v>
      </c>
      <c r="K10" t="s" s="14">
        <v>13</v>
      </c>
      <c r="L10" t="s" s="14">
        <v>12</v>
      </c>
      <c r="M10" t="s" s="14">
        <v>14</v>
      </c>
      <c r="N10" t="s" s="14">
        <v>15</v>
      </c>
    </row>
    <row r="11" ht="25.35" customHeight="1">
      <c r="A11" t="s" s="11">
        <v>24</v>
      </c>
      <c r="B11" s="12">
        <v>18</v>
      </c>
      <c r="C11" s="92">
        <v>500</v>
      </c>
      <c r="D11" t="s" s="14">
        <v>25</v>
      </c>
      <c r="E11" t="s" s="14">
        <v>26</v>
      </c>
      <c r="F11" s="94">
        <v>0</v>
      </c>
      <c r="G11" s="93">
        <v>630</v>
      </c>
      <c r="H11" s="93">
        <v>630</v>
      </c>
      <c r="I11" s="94">
        <v>0</v>
      </c>
      <c r="J11" t="s" s="14">
        <v>13</v>
      </c>
      <c r="K11" t="s" s="14">
        <v>13</v>
      </c>
      <c r="L11" t="s" s="14">
        <v>13</v>
      </c>
      <c r="M11" t="s" s="14">
        <v>15</v>
      </c>
      <c r="N11" t="s" s="14">
        <v>15</v>
      </c>
    </row>
    <row r="12" ht="25.35" customHeight="1">
      <c r="A12" t="s" s="11">
        <v>27</v>
      </c>
      <c r="B12" s="12">
        <v>24</v>
      </c>
      <c r="C12" s="92">
        <v>500</v>
      </c>
      <c r="D12" s="92">
        <v>995</v>
      </c>
      <c r="E12" t="s" s="14">
        <v>11</v>
      </c>
      <c r="F12" s="93">
        <v>995</v>
      </c>
      <c r="G12" s="93">
        <v>995</v>
      </c>
      <c r="H12" s="93">
        <v>995</v>
      </c>
      <c r="I12" s="93">
        <v>995</v>
      </c>
      <c r="J12" t="s" s="14">
        <v>12</v>
      </c>
      <c r="K12" t="s" s="14">
        <v>13</v>
      </c>
      <c r="L12" t="s" s="14">
        <v>12</v>
      </c>
      <c r="M12" t="s" s="14">
        <v>14</v>
      </c>
      <c r="N12" t="s" s="14">
        <v>15</v>
      </c>
    </row>
    <row r="13" ht="25.35" customHeight="1">
      <c r="A13" t="s" s="11">
        <v>28</v>
      </c>
      <c r="B13" s="12">
        <v>30</v>
      </c>
      <c r="C13" s="92">
        <v>500</v>
      </c>
      <c r="D13" t="s" s="14">
        <v>25</v>
      </c>
      <c r="E13" t="s" s="14">
        <v>26</v>
      </c>
      <c r="F13" s="94">
        <v>0</v>
      </c>
      <c r="G13" s="93">
        <v>630</v>
      </c>
      <c r="H13" s="94">
        <v>0</v>
      </c>
      <c r="I13" s="94">
        <v>0</v>
      </c>
      <c r="J13" t="s" s="14">
        <v>13</v>
      </c>
      <c r="K13" t="s" s="14">
        <v>13</v>
      </c>
      <c r="L13" t="s" s="14">
        <v>13</v>
      </c>
      <c r="M13" t="s" s="14">
        <v>15</v>
      </c>
      <c r="N13" t="s" s="14">
        <v>15</v>
      </c>
    </row>
    <row r="14" ht="20.05" customHeight="1">
      <c r="A14" t="s" s="32">
        <v>109</v>
      </c>
      <c r="B14" s="12">
        <v>16</v>
      </c>
      <c r="C14" s="92">
        <v>0</v>
      </c>
      <c r="D14" s="92">
        <v>400</v>
      </c>
      <c r="E14" t="s" s="14">
        <v>6</v>
      </c>
      <c r="F14" s="97">
        <v>0</v>
      </c>
      <c r="G14" s="97">
        <v>0</v>
      </c>
      <c r="H14" s="16">
        <v>0</v>
      </c>
      <c r="I14" s="93">
        <v>400</v>
      </c>
      <c r="J14" s="19"/>
      <c r="K14" s="19"/>
      <c r="L14" s="19"/>
      <c r="M14" s="19"/>
      <c r="N14" s="14"/>
    </row>
    <row r="15" ht="20.05" customHeight="1">
      <c r="A15" s="17"/>
      <c r="B15" s="18"/>
      <c r="C15" s="92"/>
      <c r="D15" s="92"/>
      <c r="E15" s="19"/>
      <c r="F15" s="92"/>
      <c r="G15" s="92"/>
      <c r="H15" s="92"/>
      <c r="I15" s="92"/>
      <c r="J15" s="13"/>
      <c r="K15" s="13"/>
      <c r="L15" s="13"/>
      <c r="M15" s="13"/>
      <c r="N15" s="14"/>
    </row>
    <row r="16" ht="20.05" customHeight="1">
      <c r="A16" s="17"/>
      <c r="B16" s="20"/>
      <c r="C16" s="92"/>
      <c r="D16" s="92"/>
      <c r="E16" s="19"/>
      <c r="F16" s="92"/>
      <c r="G16" s="92"/>
      <c r="H16" s="92"/>
      <c r="I16" s="92"/>
      <c r="J16" s="13"/>
      <c r="K16" s="13"/>
      <c r="L16" s="13"/>
      <c r="M16" s="13"/>
      <c r="N16" s="14"/>
    </row>
    <row r="17" ht="20.05" customHeight="1">
      <c r="A17" s="17"/>
      <c r="B17" s="20"/>
      <c r="C17" s="92"/>
      <c r="D17" s="92"/>
      <c r="E17" s="19"/>
      <c r="F17" s="92"/>
      <c r="G17" s="92"/>
      <c r="H17" s="92"/>
      <c r="I17" s="92"/>
      <c r="J17" s="13"/>
      <c r="K17" s="13"/>
      <c r="L17" s="13"/>
      <c r="M17" s="13"/>
      <c r="N17" s="14"/>
    </row>
    <row r="18" ht="20.05" customHeight="1">
      <c r="A18" s="17"/>
      <c r="B18" s="20"/>
      <c r="C18" s="92"/>
      <c r="D18" s="92"/>
      <c r="E18" s="19"/>
      <c r="F18" s="92"/>
      <c r="G18" s="92"/>
      <c r="H18" s="92"/>
      <c r="I18" s="92"/>
      <c r="J18" s="13"/>
      <c r="K18" s="13"/>
      <c r="L18" s="13"/>
      <c r="M18" s="13"/>
      <c r="N18" s="14"/>
    </row>
    <row r="19" ht="20.05" customHeight="1">
      <c r="A19" s="17"/>
      <c r="B19" s="20"/>
      <c r="C19" s="92"/>
      <c r="D19" s="92"/>
      <c r="E19" s="19"/>
      <c r="F19" s="92"/>
      <c r="G19" s="92"/>
      <c r="H19" s="92"/>
      <c r="I19" s="92"/>
      <c r="J19" s="13"/>
      <c r="K19" s="13"/>
      <c r="L19" s="13"/>
      <c r="M19" s="13"/>
      <c r="N19" s="14"/>
    </row>
    <row r="20" ht="20.05" customHeight="1">
      <c r="A20" s="17"/>
      <c r="B20" s="20"/>
      <c r="C20" s="92"/>
      <c r="D20" s="92"/>
      <c r="E20" s="19"/>
      <c r="F20" s="92"/>
      <c r="G20" s="92"/>
      <c r="H20" s="92"/>
      <c r="I20" s="92"/>
      <c r="J20" s="13"/>
      <c r="K20" s="13"/>
      <c r="L20" s="13"/>
      <c r="M20" s="13"/>
      <c r="N20" s="14"/>
    </row>
    <row r="21" ht="20.05" customHeight="1">
      <c r="A21" t="s" s="11">
        <v>30</v>
      </c>
      <c r="B21" s="20"/>
      <c r="C21" s="92"/>
      <c r="D21" s="92"/>
      <c r="E21" s="19"/>
      <c r="F21" s="92"/>
      <c r="G21" s="92"/>
      <c r="H21" s="92"/>
      <c r="I21" s="93" cm="1">
        <f t="array" ref="I21">I3+I4+I5+I6+I7+I8+I9+I10+I11+I12+I13+I14</f>
        <v>3285</v>
      </c>
      <c r="J21" s="13"/>
      <c r="K21" s="13"/>
      <c r="L21" s="13"/>
      <c r="M21" s="13"/>
      <c r="N21" s="14"/>
    </row>
    <row r="22" ht="20.05" customHeight="1">
      <c r="A22" s="17"/>
      <c r="B22" s="20"/>
      <c r="C22" s="92"/>
      <c r="D22" s="92"/>
      <c r="E22" s="19"/>
      <c r="F22" s="92"/>
      <c r="G22" s="92"/>
      <c r="H22" s="92"/>
      <c r="I22" s="92"/>
      <c r="J22" s="13"/>
      <c r="K22" s="13"/>
      <c r="L22" s="13"/>
      <c r="M22" s="13"/>
      <c r="N22" s="14"/>
    </row>
    <row r="23" ht="25.35" customHeight="1">
      <c r="A23" t="s" s="21">
        <v>29</v>
      </c>
      <c r="B23" s="12">
        <v>27</v>
      </c>
      <c r="C23" s="92">
        <v>150</v>
      </c>
      <c r="D23" s="92">
        <v>950</v>
      </c>
      <c r="E23" t="s" s="14">
        <v>11</v>
      </c>
      <c r="F23" s="93">
        <v>950</v>
      </c>
      <c r="G23" s="94">
        <v>0</v>
      </c>
      <c r="H23" s="94">
        <v>0</v>
      </c>
      <c r="I23" s="94">
        <v>0</v>
      </c>
      <c r="J23" t="s" s="14">
        <v>13</v>
      </c>
      <c r="K23" t="s" s="14">
        <v>13</v>
      </c>
      <c r="L23" t="s" s="14">
        <v>13</v>
      </c>
      <c r="M23" s="13"/>
      <c r="N23" s="14"/>
    </row>
    <row r="24" ht="20.05" customHeight="1">
      <c r="A24" t="s" s="11">
        <v>110</v>
      </c>
      <c r="B24" s="20"/>
      <c r="C24" s="98" cm="1">
        <f t="array" ref="C24">SUM(C3:C23)</f>
        <v>5620</v>
      </c>
      <c r="D24" s="92"/>
      <c r="E24" s="19"/>
      <c r="F24" s="98">
        <v>15475</v>
      </c>
      <c r="G24" s="98">
        <v>10460.92</v>
      </c>
      <c r="H24" s="98">
        <v>12395.02</v>
      </c>
      <c r="I24" s="98" cm="1">
        <f t="array" ref="I24">I21+I32+I48</f>
        <v>10055.5</v>
      </c>
      <c r="J24" s="13"/>
      <c r="K24" s="13"/>
      <c r="L24" s="13"/>
      <c r="M24" s="13"/>
      <c r="N24" s="14"/>
    </row>
    <row r="25" ht="20.05" customHeight="1">
      <c r="A25" t="s" s="11">
        <v>111</v>
      </c>
      <c r="B25" s="20"/>
      <c r="C25" s="92"/>
      <c r="D25" s="98" cm="1">
        <f t="array" ref="D25">F24+G24+H24+I24</f>
        <v>48386.44</v>
      </c>
      <c r="E25" s="19"/>
      <c r="F25" s="92"/>
      <c r="G25" s="92"/>
      <c r="H25" s="92"/>
      <c r="I25" s="13"/>
      <c r="J25" s="13"/>
      <c r="K25" s="13"/>
      <c r="L25" s="13"/>
      <c r="M25" s="13"/>
      <c r="N25" s="14"/>
    </row>
    <row r="26" ht="20.05" customHeight="1">
      <c r="A26" t="s" s="11">
        <v>23</v>
      </c>
      <c r="B26" t="s" s="26">
        <v>36</v>
      </c>
      <c r="C26" s="27"/>
      <c r="D26" s="27"/>
      <c r="E26" s="27"/>
      <c r="F26" s="27"/>
      <c r="G26" s="27"/>
      <c r="H26" s="27"/>
      <c r="I26" s="27"/>
      <c r="J26" s="19"/>
      <c r="K26" s="19"/>
      <c r="L26" s="19"/>
      <c r="M26" s="19"/>
      <c r="N26" s="14"/>
    </row>
    <row r="27" ht="20.05" customHeight="1">
      <c r="A27" t="s" s="95">
        <v>35</v>
      </c>
      <c r="B27" s="99"/>
      <c r="C27" t="s" s="100">
        <v>38</v>
      </c>
      <c r="D27" s="96">
        <v>171.82</v>
      </c>
      <c r="E27" s="96"/>
      <c r="F27" s="101"/>
      <c r="G27" s="102"/>
      <c r="H27" s="102"/>
      <c r="I27" s="103" cm="1">
        <f t="array" ref="I27">R54*D27</f>
        <v>515.46</v>
      </c>
      <c r="J27" s="19"/>
      <c r="K27" s="19"/>
      <c r="L27" s="19"/>
      <c r="M27" s="19"/>
      <c r="N27" s="14"/>
    </row>
    <row r="28" ht="20.05" customHeight="1">
      <c r="A28" t="s" s="95">
        <v>10</v>
      </c>
      <c r="B28" s="99"/>
      <c r="C28" t="s" s="100">
        <v>38</v>
      </c>
      <c r="D28" s="96">
        <v>171.82</v>
      </c>
      <c r="E28" s="96"/>
      <c r="F28" s="101"/>
      <c r="G28" s="102"/>
      <c r="H28" s="102"/>
      <c r="I28" s="98" cm="1">
        <f t="array" ref="I28">D28*R53</f>
        <v>1890.02</v>
      </c>
      <c r="J28" s="19"/>
      <c r="K28" s="19"/>
      <c r="L28" s="19"/>
      <c r="M28" s="19"/>
      <c r="N28" s="14"/>
    </row>
    <row r="29" ht="20.05" customHeight="1">
      <c r="A29" t="s" s="95">
        <v>37</v>
      </c>
      <c r="B29" s="99"/>
      <c r="C29" t="s" s="100">
        <v>38</v>
      </c>
      <c r="D29" s="96">
        <v>171.82</v>
      </c>
      <c r="E29" s="96"/>
      <c r="F29" t="s" s="25">
        <v>25</v>
      </c>
      <c r="G29" s="98" cm="1">
        <f t="array" ref="G29">D29*P61</f>
        <v>1030.92</v>
      </c>
      <c r="H29" s="98" cm="1">
        <f t="array" ref="H29">D29*Q61</f>
        <v>1890.02</v>
      </c>
      <c r="I29" s="98" cm="1">
        <f t="array" ref="I29">D29*R61</f>
        <v>1890.02</v>
      </c>
      <c r="J29" s="19"/>
      <c r="K29" s="19"/>
      <c r="L29" s="19"/>
      <c r="M29" t="s" s="14">
        <v>14</v>
      </c>
      <c r="N29" t="s" s="14">
        <v>23</v>
      </c>
    </row>
    <row r="30" ht="20.05" customHeight="1">
      <c r="A30" t="s" s="95">
        <v>112</v>
      </c>
      <c r="B30" s="99"/>
      <c r="C30" t="s" s="100">
        <v>38</v>
      </c>
      <c r="D30" s="96">
        <v>171.82</v>
      </c>
      <c r="E30" s="96"/>
      <c r="F30" s="104"/>
      <c r="G30" s="105"/>
      <c r="H30" s="105"/>
      <c r="I30" s="94" cm="1">
        <f t="array" ref="I30">D30*R78</f>
        <v>0</v>
      </c>
      <c r="J30" s="19"/>
      <c r="K30" s="19"/>
      <c r="L30" s="19"/>
      <c r="M30" s="19"/>
      <c r="N30" s="14"/>
    </row>
    <row r="31" ht="20.05" customHeight="1">
      <c r="A31" t="s" s="95">
        <v>113</v>
      </c>
      <c r="B31" s="99"/>
      <c r="C31" t="s" s="100">
        <v>38</v>
      </c>
      <c r="D31" s="96">
        <v>171.82</v>
      </c>
      <c r="E31" s="96"/>
      <c r="F31" s="104"/>
      <c r="G31" s="105"/>
      <c r="H31" s="105"/>
      <c r="I31" s="94" cm="1">
        <f t="array" ref="I31">D31*R79</f>
        <v>0</v>
      </c>
      <c r="J31" s="19"/>
      <c r="K31" s="19"/>
      <c r="L31" s="19"/>
      <c r="M31" s="19"/>
      <c r="N31" s="14"/>
    </row>
    <row r="32" ht="20.05" customHeight="1">
      <c r="A32" t="s" s="95">
        <v>114</v>
      </c>
      <c r="B32" s="106"/>
      <c r="C32" s="27"/>
      <c r="D32" s="27"/>
      <c r="E32" s="27"/>
      <c r="F32" s="104"/>
      <c r="G32" s="107">
        <v>1030.92</v>
      </c>
      <c r="H32" s="98">
        <v>1890.02</v>
      </c>
      <c r="I32" s="98" cm="1">
        <f t="array" ref="I32">I27+I28+I29+I30+I31</f>
        <v>4295.5</v>
      </c>
      <c r="J32" s="19"/>
      <c r="K32" s="19"/>
      <c r="L32" s="19"/>
      <c r="M32" s="19"/>
      <c r="N32" s="14"/>
    </row>
    <row r="33" ht="20.05" customHeight="1">
      <c r="A33" t="s" s="11">
        <v>39</v>
      </c>
      <c r="B33" t="s" s="26">
        <v>40</v>
      </c>
      <c r="C33" s="27"/>
      <c r="D33" s="27"/>
      <c r="E33" s="27"/>
      <c r="F33" s="27"/>
      <c r="G33" s="27"/>
      <c r="H33" s="27"/>
      <c r="I33" s="27"/>
      <c r="J33" s="19"/>
      <c r="K33" s="19"/>
      <c r="L33" s="19"/>
      <c r="M33" s="19"/>
      <c r="N33" s="14"/>
    </row>
    <row r="34" ht="20.05" customHeight="1">
      <c r="A34" t="s" s="11">
        <v>41</v>
      </c>
      <c r="B34" s="20"/>
      <c r="C34" t="s" s="14">
        <v>33</v>
      </c>
      <c r="D34" s="92">
        <v>50</v>
      </c>
      <c r="E34" s="24">
        <v>1</v>
      </c>
      <c r="F34" t="s" s="25">
        <v>25</v>
      </c>
      <c r="G34" s="98" cm="1">
        <f t="array" ref="G34">E34*D34</f>
        <v>50</v>
      </c>
      <c r="H34" s="22" cm="1">
        <f t="array" ref="H34">D34*Q65</f>
        <v>50</v>
      </c>
      <c r="I34" s="16">
        <v>0</v>
      </c>
      <c r="J34" s="19"/>
      <c r="K34" s="19"/>
      <c r="L34" s="19"/>
      <c r="M34" t="s" s="14">
        <v>15</v>
      </c>
      <c r="N34" t="s" s="14">
        <v>34</v>
      </c>
    </row>
    <row r="35" ht="20.05" customHeight="1">
      <c r="A35" t="s" s="11">
        <v>42</v>
      </c>
      <c r="B35" s="20"/>
      <c r="C35" t="s" s="14">
        <v>33</v>
      </c>
      <c r="D35" s="92">
        <v>50</v>
      </c>
      <c r="E35" s="24">
        <v>1</v>
      </c>
      <c r="F35" t="s" s="25">
        <v>25</v>
      </c>
      <c r="G35" s="98" cm="1">
        <f t="array" ref="G35">E35*D35</f>
        <v>50</v>
      </c>
      <c r="H35" s="16" cm="1">
        <f t="array" ref="H35">D35*Q63</f>
        <v>0</v>
      </c>
      <c r="I35" s="16">
        <v>0</v>
      </c>
      <c r="J35" s="19"/>
      <c r="K35" s="19"/>
      <c r="L35" s="19"/>
      <c r="M35" t="s" s="14">
        <v>15</v>
      </c>
      <c r="N35" t="s" s="14">
        <v>34</v>
      </c>
    </row>
    <row r="36" ht="20.05" customHeight="1">
      <c r="A36" t="s" s="11">
        <v>43</v>
      </c>
      <c r="B36" s="20"/>
      <c r="C36" t="s" s="14">
        <v>33</v>
      </c>
      <c r="D36" s="92">
        <v>50</v>
      </c>
      <c r="E36" s="24">
        <v>1</v>
      </c>
      <c r="F36" t="s" s="25">
        <v>25</v>
      </c>
      <c r="G36" s="98" cm="1">
        <f t="array" ref="G36">E36*D36</f>
        <v>50</v>
      </c>
      <c r="H36" s="22" cm="1">
        <f t="array" ref="H36">D36*Q64</f>
        <v>50</v>
      </c>
      <c r="I36" s="16">
        <v>0</v>
      </c>
      <c r="J36" s="19"/>
      <c r="K36" s="19"/>
      <c r="L36" s="19"/>
      <c r="M36" t="s" s="14">
        <v>15</v>
      </c>
      <c r="N36" t="s" s="14">
        <v>34</v>
      </c>
    </row>
    <row r="37" ht="20.05" customHeight="1">
      <c r="A37" t="s" s="11">
        <v>32</v>
      </c>
      <c r="B37" s="20"/>
      <c r="C37" t="s" s="14">
        <v>33</v>
      </c>
      <c r="D37" s="92">
        <v>75</v>
      </c>
      <c r="E37" s="24">
        <v>4</v>
      </c>
      <c r="F37" s="98">
        <v>300</v>
      </c>
      <c r="G37" s="98">
        <v>150</v>
      </c>
      <c r="H37" s="98" cm="1">
        <f t="array" ref="H37">D37*Q66</f>
        <v>150</v>
      </c>
      <c r="I37" s="16">
        <v>0</v>
      </c>
      <c r="J37" s="13"/>
      <c r="K37" s="13"/>
      <c r="L37" s="13"/>
      <c r="M37" t="s" s="14">
        <v>14</v>
      </c>
      <c r="N37" t="s" s="14">
        <v>34</v>
      </c>
    </row>
    <row r="38" ht="20.05" customHeight="1">
      <c r="A38" t="s" s="11">
        <v>35</v>
      </c>
      <c r="B38" s="20"/>
      <c r="C38" t="s" s="14">
        <v>33</v>
      </c>
      <c r="D38" s="92">
        <v>70</v>
      </c>
      <c r="E38" s="24">
        <v>3</v>
      </c>
      <c r="F38" t="s" s="25">
        <v>25</v>
      </c>
      <c r="G38" s="98">
        <v>210</v>
      </c>
      <c r="H38" s="98" cm="1">
        <f t="array" ref="H38">D38*Q54</f>
        <v>140</v>
      </c>
      <c r="I38" s="16">
        <v>0</v>
      </c>
      <c r="J38" s="13"/>
      <c r="K38" s="13"/>
      <c r="L38" s="13"/>
      <c r="M38" s="13"/>
      <c r="N38" s="14"/>
    </row>
    <row r="39" ht="20.05" customHeight="1">
      <c r="A39" t="s" s="21">
        <v>45</v>
      </c>
      <c r="B39" s="28"/>
      <c r="C39" t="s" s="29">
        <v>25</v>
      </c>
      <c r="D39" s="108">
        <v>75</v>
      </c>
      <c r="E39" s="31"/>
      <c r="F39" t="s" s="109">
        <v>25</v>
      </c>
      <c r="G39" s="110" cm="1">
        <f t="array" ref="G39">E39*D39</f>
        <v>0</v>
      </c>
      <c r="H39" s="22" cm="1">
        <f t="array" ref="H39">D39*Q69</f>
        <v>150</v>
      </c>
      <c r="I39" s="98" cm="1">
        <f t="array" ref="I39">D39*R69</f>
        <v>525</v>
      </c>
      <c r="J39" s="48"/>
      <c r="K39" s="48"/>
      <c r="L39" s="48"/>
      <c r="M39" t="s" s="59">
        <v>15</v>
      </c>
      <c r="N39" t="s" s="59">
        <v>34</v>
      </c>
    </row>
    <row r="40" ht="20.05" customHeight="1">
      <c r="A40" t="s" s="21">
        <v>46</v>
      </c>
      <c r="B40" s="28"/>
      <c r="C40" t="s" s="29">
        <v>25</v>
      </c>
      <c r="D40" s="108">
        <v>75</v>
      </c>
      <c r="E40" s="31"/>
      <c r="F40" t="s" s="109">
        <v>25</v>
      </c>
      <c r="G40" s="110" cm="1">
        <f t="array" ref="G40">E40*D40</f>
        <v>0</v>
      </c>
      <c r="H40" s="22" cm="1">
        <f t="array" ref="H40">D40*Q70</f>
        <v>150</v>
      </c>
      <c r="I40" s="98" cm="1">
        <f t="array" ref="I40">D40*R70</f>
        <v>375</v>
      </c>
      <c r="J40" s="48"/>
      <c r="K40" s="48"/>
      <c r="L40" s="48"/>
      <c r="M40" t="s" s="59">
        <v>15</v>
      </c>
      <c r="N40" t="s" s="59">
        <v>34</v>
      </c>
    </row>
    <row r="41" ht="20.05" customHeight="1">
      <c r="A41" t="s" s="32">
        <v>47</v>
      </c>
      <c r="B41" s="33">
        <v>15</v>
      </c>
      <c r="C41" s="92">
        <v>500</v>
      </c>
      <c r="D41" s="92">
        <v>75</v>
      </c>
      <c r="E41" s="19"/>
      <c r="F41" t="s" s="25">
        <v>25</v>
      </c>
      <c r="G41" s="110" cm="1">
        <f t="array" ref="G41">E41*D41</f>
        <v>0</v>
      </c>
      <c r="H41" s="22" cm="1">
        <f t="array" ref="H41">D41*Q71</f>
        <v>450</v>
      </c>
      <c r="I41" s="98" cm="1">
        <f t="array" ref="I41">D41*R71</f>
        <v>375</v>
      </c>
      <c r="J41" s="19"/>
      <c r="K41" s="19"/>
      <c r="L41" s="19"/>
      <c r="M41" s="19"/>
      <c r="N41" s="14"/>
    </row>
    <row r="42" ht="20.05" customHeight="1">
      <c r="A42" t="s" s="32">
        <v>48</v>
      </c>
      <c r="B42" s="33">
        <v>11</v>
      </c>
      <c r="C42" s="92">
        <v>250</v>
      </c>
      <c r="D42" s="92">
        <v>75</v>
      </c>
      <c r="E42" s="19"/>
      <c r="F42" t="s" s="25">
        <v>25</v>
      </c>
      <c r="G42" s="110" cm="1">
        <f t="array" ref="G42">E42*D42</f>
        <v>0</v>
      </c>
      <c r="H42" s="22" cm="1">
        <f t="array" ref="H42">D42*Q72</f>
        <v>675</v>
      </c>
      <c r="I42" s="98" cm="1">
        <f t="array" ref="I42">D42*R72</f>
        <v>600</v>
      </c>
      <c r="J42" s="19"/>
      <c r="K42" s="19"/>
      <c r="L42" s="19"/>
      <c r="M42" t="s" s="14">
        <v>15</v>
      </c>
      <c r="N42" t="s" s="14">
        <v>34</v>
      </c>
    </row>
    <row r="43" ht="20.05" customHeight="1">
      <c r="A43" t="s" s="32">
        <v>49</v>
      </c>
      <c r="B43" s="33">
        <v>11</v>
      </c>
      <c r="C43" s="92">
        <v>250</v>
      </c>
      <c r="D43" s="92">
        <v>75</v>
      </c>
      <c r="E43" s="19"/>
      <c r="F43" t="s" s="25">
        <v>25</v>
      </c>
      <c r="G43" s="110" cm="1">
        <f t="array" ref="G43">E43*D43</f>
        <v>0</v>
      </c>
      <c r="H43" s="22" cm="1">
        <f t="array" ref="H43">D43*Q73</f>
        <v>525</v>
      </c>
      <c r="I43" s="98" cm="1">
        <f t="array" ref="I43">D43*R73</f>
        <v>375</v>
      </c>
      <c r="J43" s="19"/>
      <c r="K43" s="19"/>
      <c r="L43" s="19"/>
      <c r="M43" t="s" s="14">
        <v>15</v>
      </c>
      <c r="N43" t="s" s="14">
        <v>34</v>
      </c>
    </row>
    <row r="44" ht="20.05" customHeight="1">
      <c r="A44" t="s" s="32">
        <v>50</v>
      </c>
      <c r="B44" s="33">
        <v>14</v>
      </c>
      <c r="C44" s="92">
        <v>260</v>
      </c>
      <c r="D44" s="92">
        <v>75</v>
      </c>
      <c r="E44" s="19"/>
      <c r="F44" t="s" s="25">
        <v>25</v>
      </c>
      <c r="G44" s="110" cm="1">
        <f t="array" ref="G44">E44*D44</f>
        <v>0</v>
      </c>
      <c r="H44" s="22" cm="1">
        <f t="array" ref="H44">D44*Q74</f>
        <v>75</v>
      </c>
      <c r="I44" s="16">
        <v>0</v>
      </c>
      <c r="J44" s="19"/>
      <c r="K44" s="19"/>
      <c r="L44" s="19"/>
      <c r="M44" t="s" s="14">
        <v>15</v>
      </c>
      <c r="N44" t="s" s="14">
        <v>34</v>
      </c>
    </row>
    <row r="45" ht="20.05" customHeight="1">
      <c r="A45" t="s" s="32">
        <v>51</v>
      </c>
      <c r="B45" s="33">
        <v>14</v>
      </c>
      <c r="C45" s="92">
        <v>260</v>
      </c>
      <c r="D45" s="92">
        <v>75</v>
      </c>
      <c r="E45" s="19"/>
      <c r="F45" t="s" s="25">
        <v>25</v>
      </c>
      <c r="G45" s="110" cm="1">
        <f t="array" ref="G45">E45*D45</f>
        <v>0</v>
      </c>
      <c r="H45" s="22" cm="1">
        <f t="array" ref="H45">D45*Q75</f>
        <v>75</v>
      </c>
      <c r="I45" s="16">
        <v>0</v>
      </c>
      <c r="J45" s="19"/>
      <c r="K45" s="19"/>
      <c r="L45" s="19"/>
      <c r="M45" t="s" s="14">
        <v>15</v>
      </c>
      <c r="N45" t="s" s="14">
        <v>34</v>
      </c>
    </row>
    <row r="46" ht="20.05" customHeight="1">
      <c r="A46" t="s" s="32">
        <v>52</v>
      </c>
      <c r="B46" s="33">
        <v>14</v>
      </c>
      <c r="C46" s="92">
        <v>280</v>
      </c>
      <c r="D46" s="92">
        <v>75</v>
      </c>
      <c r="E46" s="19"/>
      <c r="F46" t="s" s="25">
        <v>25</v>
      </c>
      <c r="G46" s="110" cm="1">
        <f t="array" ref="G46">E46*D46</f>
        <v>0</v>
      </c>
      <c r="H46" s="22" cm="1">
        <f t="array" ref="H46">D46*Q76</f>
        <v>75</v>
      </c>
      <c r="I46" s="16">
        <v>0</v>
      </c>
      <c r="J46" s="19"/>
      <c r="K46" s="19"/>
      <c r="L46" s="19"/>
      <c r="M46" t="s" s="14">
        <v>15</v>
      </c>
      <c r="N46" t="s" s="14">
        <v>34</v>
      </c>
    </row>
    <row r="47" ht="20.05" customHeight="1">
      <c r="A47" t="s" s="32">
        <v>115</v>
      </c>
      <c r="B47" s="20"/>
      <c r="C47" s="92"/>
      <c r="D47" s="92">
        <v>75</v>
      </c>
      <c r="E47" s="19"/>
      <c r="F47" t="s" s="25">
        <v>25</v>
      </c>
      <c r="G47" s="110" cm="1">
        <f t="array" ref="G47">E47*D47</f>
        <v>0</v>
      </c>
      <c r="H47" s="111" cm="1">
        <f t="array" ref="H47">D47*Q81</f>
        <v>0</v>
      </c>
      <c r="I47" s="98" cm="1">
        <f t="array" ref="I47">D47*R77</f>
        <v>225</v>
      </c>
      <c r="J47" s="19"/>
      <c r="K47" s="19"/>
      <c r="L47" s="19"/>
      <c r="M47" s="19"/>
      <c r="N47" s="14"/>
    </row>
    <row r="48" ht="20.05" customHeight="1">
      <c r="A48" t="s" s="32">
        <v>116</v>
      </c>
      <c r="B48" s="112"/>
      <c r="C48" s="27"/>
      <c r="D48" s="27"/>
      <c r="E48" s="27"/>
      <c r="F48" t="s" s="25">
        <v>25</v>
      </c>
      <c r="G48" s="98" cm="1">
        <f t="array" ref="G48">SUM(G34:G47)</f>
        <v>510</v>
      </c>
      <c r="H48" s="22" cm="1">
        <f t="array" ref="H48">SUM(H34:H47)</f>
        <v>2565</v>
      </c>
      <c r="I48" s="22" cm="1">
        <f t="array" ref="I48">SUM(I34:I47)</f>
        <v>2475</v>
      </c>
      <c r="J48" s="19"/>
      <c r="K48" s="19"/>
      <c r="L48" s="19"/>
      <c r="M48" s="19"/>
      <c r="N48" s="14"/>
    </row>
    <row r="50" ht="31.15" customHeight="1">
      <c r="O50" t="s" s="3">
        <v>25</v>
      </c>
      <c r="P50" t="s" s="3">
        <v>117</v>
      </c>
      <c r="Q50" t="s" s="3">
        <v>118</v>
      </c>
      <c r="R50" t="s" s="3">
        <v>119</v>
      </c>
      <c r="S50" t="s" s="114">
        <v>54</v>
      </c>
    </row>
    <row r="51" ht="31.15" customHeight="1">
      <c r="O51" t="s" s="6">
        <v>55</v>
      </c>
      <c r="P51" s="36">
        <v>4</v>
      </c>
      <c r="Q51" s="115" cm="1">
        <f t="array" ref="Q51">'NOVIEMBRE 2025'!AN102+'NOVIEMBRE 2025'!AW127+'NOVIEMBRE 2025'!BP189+'NOVIEMBRE 2025'!CI251</f>
        <v>4</v>
      </c>
      <c r="R51" s="115" cm="1">
        <f t="array" ref="R51">AK120+BD190+BW263+CF300+CY373</f>
        <v>5</v>
      </c>
      <c r="S51" s="116"/>
    </row>
    <row r="52" ht="30.85" customHeight="1">
      <c r="O52" t="s" s="11">
        <v>56</v>
      </c>
      <c r="P52" s="38">
        <v>0</v>
      </c>
      <c r="Q52" s="40" cm="1">
        <f t="array" ref="Q52">'NOVIEMBRE 2025'!CI252+'NOVIEMBRE 2025'!BP190+'NOVIEMBRE 2025'!AW128+'NOVIEMBRE 2025'!AN103</f>
        <v>0</v>
      </c>
      <c r="R52" s="40" cm="1">
        <f t="array" ref="R52">AK121+BD191+BW264+CF301+CY374</f>
        <v>1</v>
      </c>
      <c r="S52" s="117"/>
    </row>
    <row r="53" ht="30.85" customHeight="1">
      <c r="O53" t="s" s="118">
        <v>10</v>
      </c>
      <c r="P53" s="39"/>
      <c r="Q53" s="40" cm="1">
        <f t="array" ref="Q53">'NOVIEMBRE 2025'!AN104+'NOVIEMBRE 2025'!AW129+'NOVIEMBRE 2025'!BP191+'NOVIEMBRE 2025'!CI253</f>
        <v>9</v>
      </c>
      <c r="R53" s="40" cm="1">
        <f t="array" ref="R53">AK138+BD208+BW281+CF318+CY391</f>
        <v>11</v>
      </c>
      <c r="S53" s="117"/>
    </row>
    <row r="54" ht="30.85" customHeight="1">
      <c r="O54" t="s" s="118">
        <v>35</v>
      </c>
      <c r="P54" s="38">
        <v>3</v>
      </c>
      <c r="Q54" s="40" cm="1">
        <f t="array" ref="Q54">'NOVIEMBRE 2025'!AN105+'NOVIEMBRE 2025'!AW130+'NOVIEMBRE 2025'!BP192+'NOVIEMBRE 2025'!CI254</f>
        <v>2</v>
      </c>
      <c r="R54" s="40" cm="1">
        <f t="array" ref="R54">AK122+BD192+BW265+CF316+CY389</f>
        <v>3</v>
      </c>
      <c r="S54" s="117"/>
    </row>
    <row r="55" ht="30.85" customHeight="1">
      <c r="O55" t="s" s="11">
        <v>16</v>
      </c>
      <c r="P55" s="39"/>
      <c r="Q55" s="40" cm="1">
        <f t="array" ref="Q55">'NOVIEMBRE 2025'!CI255+'NOVIEMBRE 2025'!BP193+'NOVIEMBRE 2025'!AW131+'NOVIEMBRE 2025'!AN106</f>
        <v>6</v>
      </c>
      <c r="R55" s="40" cm="1">
        <f t="array" ref="R55">AK123+BD193+BW266+CF302+CY375</f>
        <v>6</v>
      </c>
      <c r="S55" s="117"/>
    </row>
    <row r="56" ht="30.85" customHeight="1">
      <c r="O56" t="s" s="11">
        <v>17</v>
      </c>
      <c r="P56" s="39"/>
      <c r="Q56" s="40" cm="1">
        <f t="array" ref="Q56">'NOVIEMBRE 2025'!AN107+'NOVIEMBRE 2025'!AW132+'NOVIEMBRE 2025'!BP194+'NOVIEMBRE 2025'!CI256</f>
        <v>1</v>
      </c>
      <c r="R56" s="40" cm="1">
        <f t="array" ref="R56">AK124+BD194+BW267+CF303+CY376</f>
        <v>0</v>
      </c>
      <c r="S56" s="117"/>
    </row>
    <row r="57" ht="30.85" customHeight="1">
      <c r="O57" t="s" s="11">
        <v>18</v>
      </c>
      <c r="P57" s="39"/>
      <c r="Q57" s="40" cm="1">
        <f t="array" ref="Q57">'NOVIEMBRE 2025'!CI257+'NOVIEMBRE 2025'!BP195+'NOVIEMBRE 2025'!AW133+'NOVIEMBRE 2025'!AN108</f>
        <v>10</v>
      </c>
      <c r="R57" s="40" cm="1">
        <f t="array" ref="R57">AK125+BD195+BW268+CF304+CY377</f>
        <v>1</v>
      </c>
      <c r="S57" t="s" s="119">
        <v>120</v>
      </c>
    </row>
    <row r="58" ht="30.85" customHeight="1">
      <c r="O58" t="s" s="11">
        <v>19</v>
      </c>
      <c r="P58" s="39"/>
      <c r="Q58" s="40">
        <v>1</v>
      </c>
      <c r="R58" s="40" cm="1">
        <f t="array" ref="R58">AK126+BD196+BW269+CF305+CY378</f>
        <v>0</v>
      </c>
      <c r="S58" s="117"/>
    </row>
    <row r="59" ht="30.85" customHeight="1">
      <c r="O59" t="s" s="11">
        <v>20</v>
      </c>
      <c r="P59" s="39"/>
      <c r="Q59" s="40" cm="1">
        <f t="array" ref="Q59">'NOVIEMBRE 2025'!CI259+'NOVIEMBRE 2025'!BP197+'NOVIEMBRE 2025'!AW135+'NOVIEMBRE 2025'!AN110</f>
        <v>4</v>
      </c>
      <c r="R59" s="40" cm="1">
        <f t="array" ref="R59">AK127+BD197+BW270+CF306+CY379</f>
        <v>1</v>
      </c>
      <c r="S59" s="117"/>
    </row>
    <row r="60" ht="30.85" customHeight="1">
      <c r="O60" t="s" s="11">
        <v>21</v>
      </c>
      <c r="P60" s="39"/>
      <c r="Q60" s="40" cm="1">
        <f t="array" ref="Q60">'NOVIEMBRE 2025'!CI260+'NOVIEMBRE 2025'!BP198+'NOVIEMBRE 2025'!AW136+'NOVIEMBRE 2025'!AN111</f>
        <v>5</v>
      </c>
      <c r="R60" s="40" cm="1">
        <f t="array" ref="R60">AK128+BD198+BW271+CF307+CY380</f>
        <v>0</v>
      </c>
      <c r="S60" s="117"/>
    </row>
    <row r="61" ht="30.85" customHeight="1">
      <c r="O61" t="s" s="118">
        <v>22</v>
      </c>
      <c r="P61" s="38">
        <v>6</v>
      </c>
      <c r="Q61" s="40" cm="1">
        <f t="array" ref="Q61">'NOVIEMBRE 2025'!AN112+'NOVIEMBRE 2025'!AW137+'NOVIEMBRE 2025'!BP199+'NOVIEMBRE 2025'!CI261</f>
        <v>11</v>
      </c>
      <c r="R61" s="40" cm="1">
        <f t="array" ref="R61">AK137+BD207+BW280+CF317+CY390</f>
        <v>11</v>
      </c>
      <c r="S61" s="117"/>
    </row>
    <row r="62" ht="30.85" customHeight="1">
      <c r="O62" t="s" s="11">
        <v>27</v>
      </c>
      <c r="P62" s="38">
        <v>0</v>
      </c>
      <c r="Q62" s="40" cm="1">
        <f t="array" ref="Q62">'NOVIEMBRE 2025'!CI262+'NOVIEMBRE 2025'!BP200+'NOVIEMBRE 2025'!AW138+'NOVIEMBRE 2025'!AN113</f>
        <v>7</v>
      </c>
      <c r="R62" s="40" cm="1">
        <f t="array" ref="R62">AK129+BD199+BW272+CF308+CY381</f>
        <v>3</v>
      </c>
      <c r="S62" s="117"/>
    </row>
    <row r="63" ht="30.85" customHeight="1">
      <c r="O63" t="s" s="11">
        <v>42</v>
      </c>
      <c r="P63" s="38">
        <v>1</v>
      </c>
      <c r="Q63" s="40">
        <v>0</v>
      </c>
      <c r="R63" s="40" cm="1">
        <f t="array" ref="R63">AK130+BD200+BW273+CF309+CY382</f>
        <v>0</v>
      </c>
      <c r="S63" s="117"/>
    </row>
    <row r="64" ht="30.85" customHeight="1">
      <c r="O64" t="s" s="11">
        <v>43</v>
      </c>
      <c r="P64" s="38">
        <v>1</v>
      </c>
      <c r="Q64" s="40">
        <v>1</v>
      </c>
      <c r="R64" s="40" cm="1">
        <f t="array" ref="R64">AK131+BD201+BW274+CF310+CY383</f>
        <v>0</v>
      </c>
      <c r="S64" s="117"/>
    </row>
    <row r="65" ht="30.85" customHeight="1">
      <c r="O65" t="s" s="11">
        <v>41</v>
      </c>
      <c r="P65" s="38">
        <v>1</v>
      </c>
      <c r="Q65" s="40">
        <v>1</v>
      </c>
      <c r="R65" s="40" cm="1">
        <f t="array" ref="R65">AK132+BD202+BW275+CF311+CY384</f>
        <v>0</v>
      </c>
      <c r="S65" s="117"/>
    </row>
    <row r="66" ht="30.85" customHeight="1">
      <c r="O66" t="s" s="11">
        <v>32</v>
      </c>
      <c r="P66" s="38">
        <v>2</v>
      </c>
      <c r="Q66" s="40" cm="1">
        <f t="array" ref="Q66">'NOVIEMBRE 2025'!CI266+'NOVIEMBRE 2025'!BP204+'NOVIEMBRE 2025'!AW142+'NOVIEMBRE 2025'!AN117</f>
        <v>2</v>
      </c>
      <c r="R66" s="40" cm="1">
        <f t="array" ref="R66">AK133+BD203+BW276+CF312+CY385</f>
        <v>0</v>
      </c>
      <c r="S66" s="117"/>
    </row>
    <row r="67" ht="30.85" customHeight="1">
      <c r="O67" t="s" s="32">
        <v>58</v>
      </c>
      <c r="P67" s="38">
        <v>0</v>
      </c>
      <c r="Q67" s="40">
        <v>0</v>
      </c>
      <c r="R67" s="40" cm="1">
        <f t="array" ref="R67">AK140+BD212+BW285+CF322+CY395</f>
        <v>0</v>
      </c>
      <c r="S67" s="117"/>
    </row>
    <row r="68" ht="30.85" customHeight="1">
      <c r="O68" t="s" s="32">
        <v>59</v>
      </c>
      <c r="P68" s="38">
        <v>0</v>
      </c>
      <c r="Q68" s="40">
        <v>1</v>
      </c>
      <c r="R68" s="40" cm="1">
        <f t="array" ref="R68">AK141+BD213+BW286+CF323+CY396</f>
        <v>0</v>
      </c>
      <c r="S68" s="117"/>
    </row>
    <row r="69" ht="30.85" customHeight="1">
      <c r="O69" t="s" s="32">
        <v>45</v>
      </c>
      <c r="P69" s="38">
        <v>0</v>
      </c>
      <c r="Q69" s="40">
        <v>2</v>
      </c>
      <c r="R69" s="40" cm="1">
        <f t="array" ref="R69">AK142+BD214+BW287+CF324+CY397</f>
        <v>7</v>
      </c>
      <c r="S69" s="117"/>
    </row>
    <row r="70" ht="30.85" customHeight="1">
      <c r="O70" t="s" s="32">
        <v>46</v>
      </c>
      <c r="P70" s="38">
        <v>0</v>
      </c>
      <c r="Q70" s="40">
        <v>2</v>
      </c>
      <c r="R70" s="40" cm="1">
        <f t="array" ref="R70">AK143+BD215+BW288+CF325+CY398</f>
        <v>5</v>
      </c>
      <c r="S70" s="117"/>
    </row>
    <row r="71" ht="30.85" customHeight="1">
      <c r="O71" t="s" s="32">
        <v>91</v>
      </c>
      <c r="P71" s="38">
        <v>0</v>
      </c>
      <c r="Q71" s="40" cm="1">
        <f t="array" ref="Q71">'NOVIEMBRE 2025'!CI275+'NOVIEMBRE 2025'!BP212+'NOVIEMBRE 2025'!AW151</f>
        <v>6</v>
      </c>
      <c r="R71" s="40" cm="1">
        <f t="array" ref="R71">AK144+BD216+BW289+CF326+CY399</f>
        <v>5</v>
      </c>
      <c r="S71" s="117"/>
    </row>
    <row r="72" ht="30.85" customHeight="1">
      <c r="O72" t="s" s="32">
        <v>48</v>
      </c>
      <c r="P72" s="38">
        <v>0</v>
      </c>
      <c r="Q72" s="40" cm="1">
        <f t="array" ref="Q72">'NOVIEMBRE 2025'!AX152+'NOVIEMBRE 2025'!BQ213+'NOVIEMBRE 2025'!CI276</f>
        <v>9</v>
      </c>
      <c r="R72" s="40" cm="1">
        <f t="array" ref="R72">AK145+BD217+BW290+CF327+CY400</f>
        <v>8</v>
      </c>
      <c r="S72" s="117"/>
    </row>
    <row r="73" ht="30.85" customHeight="1">
      <c r="O73" t="s" s="32">
        <v>49</v>
      </c>
      <c r="P73" s="38">
        <v>0</v>
      </c>
      <c r="Q73" s="40" cm="1">
        <f t="array" ref="Q73">'NOVIEMBRE 2025'!CI277+'NOVIEMBRE 2025'!BP214+'NOVIEMBRE 2025'!AW153</f>
        <v>7</v>
      </c>
      <c r="R73" s="40" cm="1">
        <f t="array" ref="R73">AK146+BD218+BW291+CF328+CY401</f>
        <v>5</v>
      </c>
      <c r="S73" s="117"/>
    </row>
    <row r="74" ht="30.85" customHeight="1">
      <c r="O74" t="s" s="32">
        <v>50</v>
      </c>
      <c r="P74" s="38">
        <v>0</v>
      </c>
      <c r="Q74" s="40">
        <v>1</v>
      </c>
      <c r="R74" s="40" cm="1">
        <f t="array" ref="R74">AK147+BW292+CF329+BD219+CY402</f>
        <v>0</v>
      </c>
      <c r="S74" s="117"/>
    </row>
    <row r="75" ht="30.85" customHeight="1">
      <c r="O75" t="s" s="32">
        <v>51</v>
      </c>
      <c r="P75" s="38">
        <v>0</v>
      </c>
      <c r="Q75" s="40">
        <v>1</v>
      </c>
      <c r="R75" s="40" cm="1">
        <f t="array" ref="R75">AK136+BD206+BW279+CF315+CY388</f>
        <v>0</v>
      </c>
      <c r="S75" s="117"/>
    </row>
    <row r="76" ht="30.85" customHeight="1">
      <c r="O76" t="s" s="32">
        <v>52</v>
      </c>
      <c r="P76" s="38">
        <v>0</v>
      </c>
      <c r="Q76" s="40">
        <v>1</v>
      </c>
      <c r="R76" s="40" cm="1">
        <f t="array" ref="R76">AK135+BD205+BW278+CF314+CY387</f>
        <v>0</v>
      </c>
      <c r="S76" s="117"/>
    </row>
    <row r="77" ht="30.85" customHeight="1">
      <c r="O77" t="s" s="32">
        <v>115</v>
      </c>
      <c r="P77" s="38">
        <v>0</v>
      </c>
      <c r="Q77" s="40">
        <v>0</v>
      </c>
      <c r="R77" s="40" cm="1">
        <f t="array" ref="R77">BD220+BW293+CF330+CY403</f>
        <v>3</v>
      </c>
      <c r="S77" s="117"/>
    </row>
    <row r="78" ht="30.85" customHeight="1">
      <c r="O78" t="s" s="118">
        <v>121</v>
      </c>
      <c r="P78" s="38">
        <v>0</v>
      </c>
      <c r="Q78" s="40">
        <v>0</v>
      </c>
      <c r="R78" s="40" cm="1">
        <f t="array" ref="R78">BD209+BW282+CF319+CY392</f>
        <v>0</v>
      </c>
      <c r="S78" s="117"/>
    </row>
    <row r="79" ht="30.85" customHeight="1">
      <c r="O79" t="s" s="118">
        <v>113</v>
      </c>
      <c r="P79" s="38">
        <v>0</v>
      </c>
      <c r="Q79" s="40">
        <v>0</v>
      </c>
      <c r="R79" s="40" cm="1">
        <f t="array" ref="R79">BD210+BW283+CF320+CY393</f>
        <v>0</v>
      </c>
      <c r="S79" s="117"/>
    </row>
    <row r="80" ht="30.85" customHeight="1">
      <c r="O80" t="s" s="32">
        <v>109</v>
      </c>
      <c r="P80" s="38">
        <v>0</v>
      </c>
      <c r="Q80" s="40">
        <v>0</v>
      </c>
      <c r="R80" s="40" cm="1">
        <f t="array" ref="R80">BW294+CF331+CY404</f>
        <v>6</v>
      </c>
      <c r="S80" s="117"/>
    </row>
    <row r="81" ht="30.85" customHeight="1">
      <c r="O81" t="s" s="32">
        <v>102</v>
      </c>
      <c r="P81" s="38">
        <v>0</v>
      </c>
      <c r="Q81" s="40">
        <v>0</v>
      </c>
      <c r="R81" s="40" cm="1">
        <f t="array" ref="R81">AK148+BW295+CF332+CY405+BD221</f>
        <v>9</v>
      </c>
      <c r="S81" s="117"/>
    </row>
    <row r="82" ht="30.85" customHeight="1">
      <c r="O82" t="s" s="32">
        <v>30</v>
      </c>
      <c r="P82" s="38" cm="1">
        <f t="array" ref="P82">SUM(P51:P76)</f>
        <v>18</v>
      </c>
      <c r="Q82" s="40" cm="1">
        <f t="array" ref="Q82">SUM(Q51:Q76)</f>
        <v>94</v>
      </c>
      <c r="R82" s="40" cm="1">
        <f t="array" ref="R82">SUM(R51:R81)</f>
        <v>90</v>
      </c>
      <c r="S82" s="120" cm="1">
        <f t="array" ref="S82">SUM(S51:S81)</f>
        <v>0</v>
      </c>
    </row>
    <row r="84" ht="27.65" customHeight="1">
      <c r="T84" t="s" s="2">
        <v>60</v>
      </c>
      <c r="U84" s="2"/>
      <c r="V84" s="2"/>
      <c r="W84" s="2"/>
      <c r="X84" s="2"/>
      <c r="Y84" s="2"/>
      <c r="Z84" s="2"/>
      <c r="AA84" s="2"/>
      <c r="AB84" s="2"/>
      <c r="AC84" s="2"/>
    </row>
    <row r="85" ht="44.5" customHeight="1">
      <c r="T85" s="35"/>
      <c r="U85" t="s" s="3">
        <v>122</v>
      </c>
      <c r="V85" t="s" s="3">
        <v>123</v>
      </c>
      <c r="W85" t="s" s="3">
        <v>124</v>
      </c>
      <c r="X85" t="s" s="3">
        <v>125</v>
      </c>
      <c r="Y85" t="s" s="3">
        <v>126</v>
      </c>
      <c r="Z85" t="s" s="3">
        <v>127</v>
      </c>
      <c r="AA85" t="s" s="3">
        <v>67</v>
      </c>
      <c r="AB85" t="s" s="3">
        <v>68</v>
      </c>
      <c r="AC85" t="s" s="3">
        <v>69</v>
      </c>
    </row>
    <row r="86" ht="27.95" customHeight="1">
      <c r="T86" t="s" s="6">
        <v>55</v>
      </c>
      <c r="U86" s="122"/>
      <c r="V86" s="123"/>
      <c r="W86" s="123"/>
      <c r="X86" s="123"/>
      <c r="Y86" s="123"/>
      <c r="Z86" s="123"/>
      <c r="AA86" s="123"/>
      <c r="AB86" s="37"/>
      <c r="AC86" s="37"/>
    </row>
    <row r="87" ht="27.7" customHeight="1">
      <c r="T87" t="s" s="11">
        <v>56</v>
      </c>
      <c r="U87" s="124"/>
      <c r="V87" s="48"/>
      <c r="W87" s="48"/>
      <c r="X87" s="48"/>
      <c r="Y87" s="48"/>
      <c r="Z87" s="48"/>
      <c r="AA87" s="48"/>
      <c r="AB87" s="19"/>
      <c r="AC87" s="19"/>
    </row>
    <row r="88" ht="27.7" customHeight="1">
      <c r="T88" t="s" s="11">
        <v>35</v>
      </c>
      <c r="U88" s="55"/>
      <c r="V88" s="48"/>
      <c r="W88" s="48"/>
      <c r="X88" s="48"/>
      <c r="Y88" s="48"/>
      <c r="Z88" s="48"/>
      <c r="AA88" s="48"/>
      <c r="AB88" s="19"/>
      <c r="AC88" s="19"/>
    </row>
    <row r="89" ht="27.7" customHeight="1">
      <c r="T89" t="s" s="11">
        <v>16</v>
      </c>
      <c r="U89" s="125"/>
      <c r="V89" s="48"/>
      <c r="W89" s="48"/>
      <c r="X89" s="126"/>
      <c r="Y89" s="48"/>
      <c r="Z89" s="48"/>
      <c r="AA89" s="48"/>
      <c r="AB89" s="19"/>
      <c r="AC89" s="19"/>
    </row>
    <row r="90" ht="27.7" customHeight="1">
      <c r="T90" t="s" s="11">
        <v>17</v>
      </c>
      <c r="U90" s="55"/>
      <c r="V90" s="48"/>
      <c r="W90" s="48"/>
      <c r="X90" s="48"/>
      <c r="Y90" s="48"/>
      <c r="Z90" s="48"/>
      <c r="AA90" s="48"/>
      <c r="AB90" s="19"/>
      <c r="AC90" s="19"/>
    </row>
    <row r="91" ht="44.25" customHeight="1">
      <c r="T91" t="s" s="11">
        <v>18</v>
      </c>
      <c r="U91" s="55"/>
      <c r="V91" s="48"/>
      <c r="W91" s="48"/>
      <c r="X91" s="48"/>
      <c r="Y91" s="48"/>
      <c r="Z91" s="48"/>
      <c r="AA91" s="48"/>
      <c r="AB91" s="19"/>
      <c r="AC91" s="19"/>
    </row>
    <row r="92" ht="27.7" customHeight="1">
      <c r="T92" t="s" s="11">
        <v>19</v>
      </c>
      <c r="U92" s="55"/>
      <c r="V92" s="48"/>
      <c r="W92" s="48"/>
      <c r="X92" s="48"/>
      <c r="Y92" s="48"/>
      <c r="Z92" s="48"/>
      <c r="AA92" s="48"/>
      <c r="AB92" s="19"/>
      <c r="AC92" s="19"/>
    </row>
    <row r="93" ht="27.7" customHeight="1">
      <c r="T93" t="s" s="11">
        <v>20</v>
      </c>
      <c r="U93" s="55"/>
      <c r="V93" s="65"/>
      <c r="W93" s="48"/>
      <c r="X93" s="48"/>
      <c r="Y93" s="48"/>
      <c r="Z93" s="48"/>
      <c r="AA93" s="48"/>
      <c r="AB93" s="19"/>
      <c r="AC93" s="19"/>
    </row>
    <row r="94" ht="27.7" customHeight="1">
      <c r="T94" t="s" s="11">
        <v>21</v>
      </c>
      <c r="U94" s="55"/>
      <c r="V94" s="48"/>
      <c r="W94" s="48"/>
      <c r="X94" s="48"/>
      <c r="Y94" s="48"/>
      <c r="Z94" s="48"/>
      <c r="AA94" s="48"/>
      <c r="AB94" s="19"/>
      <c r="AC94" s="19"/>
    </row>
    <row r="95" ht="27.7" customHeight="1">
      <c r="T95" t="s" s="11">
        <v>27</v>
      </c>
      <c r="U95" s="55"/>
      <c r="V95" s="27"/>
      <c r="W95" s="27"/>
      <c r="X95" s="27"/>
      <c r="Y95" s="27"/>
      <c r="Z95" s="27"/>
      <c r="AA95" s="78"/>
      <c r="AB95" s="27"/>
      <c r="AC95" s="27"/>
    </row>
    <row r="96" ht="27.7" customHeight="1">
      <c r="T96" t="s" s="11">
        <v>42</v>
      </c>
      <c r="U96" s="55"/>
      <c r="V96" s="48"/>
      <c r="W96" s="48"/>
      <c r="X96" s="48"/>
      <c r="Y96" s="48"/>
      <c r="Z96" s="48"/>
      <c r="AA96" s="48"/>
      <c r="AB96" s="19"/>
      <c r="AC96" s="19"/>
    </row>
    <row r="97" ht="27.7" customHeight="1">
      <c r="T97" t="s" s="11">
        <v>43</v>
      </c>
      <c r="U97" s="55"/>
      <c r="V97" s="48"/>
      <c r="W97" s="48"/>
      <c r="X97" s="48"/>
      <c r="Y97" s="48"/>
      <c r="Z97" s="48"/>
      <c r="AA97" s="48"/>
      <c r="AB97" s="19"/>
      <c r="AC97" s="19"/>
    </row>
    <row r="98" ht="27.7" customHeight="1">
      <c r="T98" t="s" s="11">
        <v>41</v>
      </c>
      <c r="U98" s="55"/>
      <c r="V98" s="48"/>
      <c r="W98" s="48"/>
      <c r="X98" s="48"/>
      <c r="Y98" s="48"/>
      <c r="Z98" s="48"/>
      <c r="AA98" s="48"/>
      <c r="AB98" s="19"/>
      <c r="AC98" s="19"/>
    </row>
    <row r="99" ht="27.7" customHeight="1">
      <c r="T99" t="s" s="11">
        <v>32</v>
      </c>
      <c r="U99" s="55"/>
      <c r="V99" s="48"/>
      <c r="W99" s="48"/>
      <c r="X99" s="48"/>
      <c r="Y99" s="48"/>
      <c r="Z99" s="48"/>
      <c r="AA99" s="48"/>
      <c r="AB99" s="19"/>
      <c r="AC99" s="19"/>
    </row>
    <row r="100" ht="27.7" customHeight="1">
      <c r="T100" t="s" s="64">
        <v>50</v>
      </c>
      <c r="U100" s="55"/>
      <c r="V100" s="48"/>
      <c r="W100" s="48"/>
      <c r="X100" s="48"/>
      <c r="Y100" s="48"/>
      <c r="Z100" s="48"/>
      <c r="AA100" s="48"/>
      <c r="AB100" s="19"/>
      <c r="AC100" s="19"/>
    </row>
    <row r="101" ht="27.7" customHeight="1">
      <c r="T101" t="s" s="64">
        <v>52</v>
      </c>
      <c r="U101" s="55"/>
      <c r="V101" s="48"/>
      <c r="W101" s="48"/>
      <c r="X101" s="48"/>
      <c r="Y101" s="48"/>
      <c r="Z101" s="48"/>
      <c r="AA101" s="48"/>
      <c r="AB101" s="19"/>
      <c r="AC101" s="19"/>
    </row>
    <row r="102" ht="27.7" customHeight="1">
      <c r="T102" t="s" s="64">
        <v>51</v>
      </c>
      <c r="U102" s="55"/>
      <c r="V102" s="48"/>
      <c r="W102" s="48"/>
      <c r="X102" s="48"/>
      <c r="Y102" s="48"/>
      <c r="Z102" s="48"/>
      <c r="AA102" s="48"/>
      <c r="AB102" s="19"/>
      <c r="AC102" s="19"/>
    </row>
    <row r="103" ht="27.7" customHeight="1">
      <c r="T103" t="s" s="95">
        <v>22</v>
      </c>
      <c r="U103" s="55"/>
      <c r="V103" s="65"/>
      <c r="W103" s="65"/>
      <c r="X103" s="48"/>
      <c r="Y103" s="48"/>
      <c r="Z103" s="48"/>
      <c r="AA103" s="48"/>
      <c r="AB103" s="19"/>
      <c r="AC103" s="19"/>
    </row>
    <row r="104" ht="27.7" customHeight="1">
      <c r="T104" t="s" s="95">
        <v>10</v>
      </c>
      <c r="U104" s="125"/>
      <c r="V104" s="65"/>
      <c r="W104" s="48"/>
      <c r="X104" s="65"/>
      <c r="Y104" s="48"/>
      <c r="Z104" s="48"/>
      <c r="AA104" s="48"/>
      <c r="AB104" s="19"/>
      <c r="AC104" s="19"/>
    </row>
    <row r="105" ht="27.7" customHeight="1">
      <c r="T105" t="s" s="44">
        <v>70</v>
      </c>
      <c r="U105" s="55"/>
      <c r="V105" s="48"/>
      <c r="W105" s="48"/>
      <c r="X105" s="48"/>
      <c r="Y105" s="48"/>
      <c r="Z105" s="48"/>
      <c r="AA105" s="48"/>
      <c r="AB105" s="19"/>
      <c r="AC105" s="19"/>
    </row>
    <row r="106" ht="40.7" customHeight="1">
      <c r="T106" t="s" s="44">
        <v>58</v>
      </c>
      <c r="U106" s="55"/>
      <c r="V106" s="48"/>
      <c r="W106" s="48"/>
      <c r="X106" s="48"/>
      <c r="Y106" s="48"/>
      <c r="Z106" s="48"/>
      <c r="AA106" s="48"/>
      <c r="AB106" s="19"/>
      <c r="AC106" s="19"/>
    </row>
    <row r="107" ht="44.2" customHeight="1">
      <c r="T107" t="s" s="44">
        <v>59</v>
      </c>
      <c r="U107" s="55"/>
      <c r="V107" s="78"/>
      <c r="W107" s="78"/>
      <c r="X107" s="78"/>
      <c r="Y107" s="78"/>
      <c r="Z107" s="78"/>
      <c r="AA107" s="78"/>
      <c r="AB107" s="27"/>
      <c r="AC107" s="27"/>
    </row>
    <row r="108" ht="27.7" customHeight="1">
      <c r="T108" t="s" s="44">
        <v>45</v>
      </c>
      <c r="U108" s="55"/>
      <c r="V108" s="48"/>
      <c r="W108" s="48"/>
      <c r="X108" s="48"/>
      <c r="Y108" s="48"/>
      <c r="Z108" s="65"/>
      <c r="AA108" s="48"/>
      <c r="AB108" s="19"/>
      <c r="AC108" s="19"/>
    </row>
    <row r="109" ht="27.7" customHeight="1">
      <c r="T109" t="s" s="44">
        <v>46</v>
      </c>
      <c r="U109" s="55"/>
      <c r="V109" s="48"/>
      <c r="W109" s="48"/>
      <c r="X109" s="48"/>
      <c r="Y109" s="48"/>
      <c r="Z109" s="65"/>
      <c r="AA109" s="48"/>
      <c r="AB109" s="19"/>
      <c r="AC109" s="19"/>
    </row>
    <row r="110" ht="27.7" customHeight="1">
      <c r="T110" t="s" s="64">
        <v>91</v>
      </c>
      <c r="U110" s="55"/>
      <c r="V110" s="48"/>
      <c r="W110" s="127"/>
      <c r="X110" s="48"/>
      <c r="Y110" s="48"/>
      <c r="Z110" s="65"/>
      <c r="AA110" s="48"/>
      <c r="AB110" s="19"/>
      <c r="AC110" s="19"/>
    </row>
    <row r="111" ht="27.7" customHeight="1">
      <c r="T111" t="s" s="21">
        <v>48</v>
      </c>
      <c r="U111" s="66"/>
      <c r="V111" s="48"/>
      <c r="W111" s="65"/>
      <c r="X111" s="48"/>
      <c r="Y111" s="48"/>
      <c r="Z111" s="65"/>
      <c r="AA111" s="48"/>
      <c r="AB111" s="19"/>
      <c r="AC111" s="19"/>
    </row>
    <row r="112" ht="27.7" customHeight="1">
      <c r="T112" t="s" s="21">
        <v>49</v>
      </c>
      <c r="U112" s="66"/>
      <c r="V112" s="48"/>
      <c r="W112" s="48"/>
      <c r="X112" s="48"/>
      <c r="Y112" s="48"/>
      <c r="Z112" s="65"/>
      <c r="AA112" s="48"/>
      <c r="AB112" s="19"/>
      <c r="AC112" s="19"/>
    </row>
    <row r="113" ht="27.7" customHeight="1">
      <c r="T113" t="s" s="44">
        <v>101</v>
      </c>
      <c r="U113" s="55"/>
      <c r="V113" s="48"/>
      <c r="W113" s="48"/>
      <c r="X113" s="48"/>
      <c r="Y113" s="48"/>
      <c r="Z113" s="48"/>
      <c r="AA113" s="48"/>
      <c r="AB113" s="19"/>
      <c r="AC113" s="19"/>
    </row>
    <row r="114" ht="27.7" customHeight="1">
      <c r="T114" t="s" s="32">
        <v>109</v>
      </c>
      <c r="U114" s="18"/>
      <c r="V114" s="19"/>
      <c r="W114" s="19"/>
      <c r="X114" s="19"/>
      <c r="Y114" s="19"/>
      <c r="Z114" s="48"/>
      <c r="AA114" s="19"/>
      <c r="AB114" s="19"/>
      <c r="AC114" s="128"/>
    </row>
    <row r="115" ht="27.7" customHeight="1">
      <c r="T115" t="s" s="32">
        <v>102</v>
      </c>
      <c r="U115" s="18"/>
      <c r="V115" s="19"/>
      <c r="W115" s="19"/>
      <c r="X115" s="19"/>
      <c r="Y115" s="19"/>
      <c r="Z115" s="65"/>
      <c r="AA115" s="19"/>
      <c r="AB115" s="19"/>
      <c r="AC115" s="128"/>
    </row>
    <row r="116" ht="27.7" customHeight="1">
      <c r="T116" t="s" s="49">
        <v>30</v>
      </c>
      <c r="U116" s="12" cm="1">
        <f t="array" ref="U116">SUM(U86:U115)</f>
        <v>0</v>
      </c>
      <c r="V116" s="24" cm="1">
        <f t="array" ref="V116">SUM(V86:V115)</f>
        <v>0</v>
      </c>
      <c r="W116" s="24" cm="1">
        <f t="array" ref="W116">SUM(W86:W115)</f>
        <v>0</v>
      </c>
      <c r="X116" s="24" cm="1">
        <f t="array" ref="X116">SUM(X86:X115)</f>
        <v>0</v>
      </c>
      <c r="Y116" s="24" cm="1">
        <f t="array" ref="Y116">SUM(Y86:Y115)</f>
        <v>0</v>
      </c>
      <c r="Z116" s="24" cm="1">
        <f t="array" ref="Z116">SUM(Z86:Z115)</f>
        <v>0</v>
      </c>
      <c r="AA116" s="24" cm="1">
        <f t="array" ref="AA116">SUM(AA86:AA115)</f>
        <v>0</v>
      </c>
      <c r="AB116" s="24" cm="1">
        <f t="array" ref="AB116">SUM(AB86:AB115)</f>
        <v>0</v>
      </c>
      <c r="AC116" s="24" cm="1">
        <f t="array" ref="AC116">SUM(AC86:AC115)</f>
        <v>0</v>
      </c>
    </row>
    <row r="118" ht="27.65" customHeight="1">
      <c r="AD118" t="s" s="2">
        <v>72</v>
      </c>
      <c r="AE118" s="2"/>
      <c r="AF118" s="2"/>
      <c r="AG118" s="2"/>
      <c r="AH118" s="2"/>
      <c r="AI118" s="2"/>
      <c r="AJ118" s="2"/>
      <c r="AK118" s="2"/>
      <c r="AL118" s="2"/>
    </row>
    <row r="119" ht="29.5" customHeight="1">
      <c r="AD119" s="35"/>
      <c r="AE119" t="s" s="3">
        <v>122</v>
      </c>
      <c r="AF119" t="s" s="3">
        <v>123</v>
      </c>
      <c r="AG119" t="s" s="3">
        <v>124</v>
      </c>
      <c r="AH119" t="s" s="3">
        <v>125</v>
      </c>
      <c r="AI119" t="s" s="3">
        <v>126</v>
      </c>
      <c r="AJ119" t="s" s="3">
        <v>127</v>
      </c>
      <c r="AK119" t="s" s="3">
        <v>53</v>
      </c>
      <c r="AL119" t="s" s="3">
        <v>67</v>
      </c>
    </row>
    <row r="120" ht="29.5" customHeight="1">
      <c r="AD120" t="s" s="6">
        <v>55</v>
      </c>
      <c r="AE120" s="130">
        <v>1</v>
      </c>
      <c r="AF120" s="37"/>
      <c r="AG120" s="37"/>
      <c r="AH120" s="37"/>
      <c r="AI120" s="37"/>
      <c r="AJ120" s="37"/>
      <c r="AK120" s="47" cm="1">
        <f t="array" ref="AK120">SUM(AE120:AJ120)</f>
        <v>1</v>
      </c>
      <c r="AL120" s="37"/>
    </row>
    <row r="121" ht="29.2" customHeight="1">
      <c r="AD121" t="s" s="11">
        <v>56</v>
      </c>
      <c r="AE121" s="131">
        <v>1</v>
      </c>
      <c r="AF121" s="19"/>
      <c r="AG121" s="19"/>
      <c r="AH121" s="19"/>
      <c r="AI121" s="19"/>
      <c r="AJ121" s="19"/>
      <c r="AK121" s="24" cm="1">
        <f t="array" ref="AK121">SUM(AE121:AJ121)</f>
        <v>1</v>
      </c>
      <c r="AL121" s="19"/>
    </row>
    <row r="122" ht="29.2" customHeight="1">
      <c r="AD122" t="s" s="11">
        <v>35</v>
      </c>
      <c r="AE122" s="18"/>
      <c r="AF122" s="19"/>
      <c r="AG122" s="19"/>
      <c r="AH122" s="19"/>
      <c r="AI122" s="19"/>
      <c r="AJ122" s="19"/>
      <c r="AK122" s="24" cm="1">
        <f t="array" ref="AK122">SUM(AE122:AJ122)</f>
        <v>0</v>
      </c>
      <c r="AL122" s="19"/>
    </row>
    <row r="123" ht="29.2" customHeight="1">
      <c r="AD123" t="s" s="11">
        <v>16</v>
      </c>
      <c r="AE123" s="131">
        <v>1</v>
      </c>
      <c r="AF123" s="19"/>
      <c r="AG123" s="19"/>
      <c r="AH123" s="132">
        <v>1</v>
      </c>
      <c r="AI123" s="19"/>
      <c r="AJ123" s="19"/>
      <c r="AK123" s="24" cm="1">
        <f t="array" ref="AK123">SUM(AE123:AJ123)</f>
        <v>2</v>
      </c>
      <c r="AL123" s="19"/>
    </row>
    <row r="124" ht="46.65" customHeight="1">
      <c r="AD124" t="s" s="11">
        <v>17</v>
      </c>
      <c r="AE124" s="18"/>
      <c r="AF124" s="19"/>
      <c r="AG124" s="19"/>
      <c r="AH124" s="19"/>
      <c r="AI124" s="19"/>
      <c r="AJ124" s="19"/>
      <c r="AK124" s="24" cm="1">
        <f t="array" ref="AK124">SUM(AE124:AJ124)</f>
        <v>0</v>
      </c>
      <c r="AL124" s="19"/>
    </row>
    <row r="125" ht="29.2" customHeight="1">
      <c r="AD125" t="s" s="11">
        <v>18</v>
      </c>
      <c r="AE125" s="18"/>
      <c r="AF125" s="19"/>
      <c r="AG125" s="19"/>
      <c r="AH125" s="19"/>
      <c r="AI125" s="19"/>
      <c r="AJ125" s="19"/>
      <c r="AK125" s="24" cm="1">
        <f t="array" ref="AK125">SUM(AE125:AJ125)</f>
        <v>0</v>
      </c>
      <c r="AL125" s="19"/>
    </row>
    <row r="126" ht="29.2" customHeight="1">
      <c r="AD126" t="s" s="11">
        <v>19</v>
      </c>
      <c r="AE126" s="18"/>
      <c r="AF126" s="19"/>
      <c r="AG126" s="19"/>
      <c r="AH126" s="19"/>
      <c r="AI126" s="19"/>
      <c r="AJ126" s="19"/>
      <c r="AK126" s="24" cm="1">
        <f t="array" ref="AK126">SUM(AE126:AJ126)</f>
        <v>0</v>
      </c>
      <c r="AL126" s="19"/>
    </row>
    <row r="127" ht="29.2" customHeight="1">
      <c r="AD127" t="s" s="11">
        <v>20</v>
      </c>
      <c r="AE127" s="18"/>
      <c r="AF127" s="54">
        <v>1</v>
      </c>
      <c r="AG127" s="19"/>
      <c r="AH127" s="19"/>
      <c r="AI127" s="19"/>
      <c r="AJ127" s="19"/>
      <c r="AK127" s="24" cm="1">
        <f t="array" ref="AK127">SUM(AE127:AJ127)</f>
        <v>1</v>
      </c>
      <c r="AL127" s="19"/>
    </row>
    <row r="128" ht="29.2" customHeight="1">
      <c r="AD128" t="s" s="11">
        <v>21</v>
      </c>
      <c r="AE128" s="18"/>
      <c r="AF128" s="19"/>
      <c r="AG128" s="19"/>
      <c r="AH128" s="19"/>
      <c r="AI128" s="19"/>
      <c r="AJ128" s="19"/>
      <c r="AK128" s="24" cm="1">
        <f t="array" ref="AK128">SUM(AE128:AJ128)</f>
        <v>0</v>
      </c>
      <c r="AL128" s="19"/>
    </row>
    <row r="129" ht="29.2" customHeight="1">
      <c r="AD129" t="s" s="11">
        <v>27</v>
      </c>
      <c r="AE129" s="18"/>
      <c r="AF129" s="19"/>
      <c r="AG129" s="19"/>
      <c r="AH129" s="19"/>
      <c r="AI129" s="19"/>
      <c r="AJ129" s="19"/>
      <c r="AK129" s="24" cm="1">
        <f t="array" ref="AK129">SUM(AE129:AJ129)</f>
        <v>0</v>
      </c>
      <c r="AL129" s="19"/>
    </row>
    <row r="130" ht="29.2" customHeight="1">
      <c r="AD130" t="s" s="11">
        <v>42</v>
      </c>
      <c r="AE130" s="18"/>
      <c r="AF130" s="19"/>
      <c r="AG130" s="19"/>
      <c r="AH130" s="19"/>
      <c r="AI130" s="19"/>
      <c r="AJ130" s="19"/>
      <c r="AK130" s="24" cm="1">
        <f t="array" ref="AK130">SUM(AE130:AJ130)</f>
        <v>0</v>
      </c>
      <c r="AL130" s="19"/>
    </row>
    <row r="131" ht="29.2" customHeight="1">
      <c r="AD131" t="s" s="11">
        <v>43</v>
      </c>
      <c r="AE131" s="18"/>
      <c r="AF131" s="19"/>
      <c r="AG131" s="19"/>
      <c r="AH131" s="19"/>
      <c r="AI131" s="19"/>
      <c r="AJ131" s="19"/>
      <c r="AK131" s="24" cm="1">
        <f t="array" ref="AK131">SUM(AE131:AJ131)</f>
        <v>0</v>
      </c>
      <c r="AL131" s="19"/>
    </row>
    <row r="132" ht="29.2" customHeight="1">
      <c r="AD132" t="s" s="11">
        <v>41</v>
      </c>
      <c r="AE132" s="18"/>
      <c r="AF132" s="19"/>
      <c r="AG132" s="19"/>
      <c r="AH132" s="19"/>
      <c r="AI132" s="19"/>
      <c r="AJ132" s="19"/>
      <c r="AK132" s="24" cm="1">
        <f t="array" ref="AK132">SUM(AE132:AJ132)</f>
        <v>0</v>
      </c>
      <c r="AL132" s="19"/>
    </row>
    <row r="133" ht="29.2" customHeight="1">
      <c r="AD133" t="s" s="11">
        <v>32</v>
      </c>
      <c r="AE133" s="18"/>
      <c r="AF133" s="19"/>
      <c r="AG133" s="19"/>
      <c r="AH133" s="19"/>
      <c r="AI133" s="19"/>
      <c r="AJ133" s="19"/>
      <c r="AK133" s="24" cm="1">
        <f t="array" ref="AK133">SUM(AE133:AJ133)</f>
        <v>0</v>
      </c>
      <c r="AL133" s="19"/>
    </row>
    <row r="134" ht="25.2" customHeight="1">
      <c r="AD134" t="s" s="32">
        <v>50</v>
      </c>
      <c r="AE134" s="18"/>
      <c r="AF134" s="19"/>
      <c r="AG134" s="19"/>
      <c r="AH134" s="19"/>
      <c r="AI134" s="19"/>
      <c r="AJ134" s="19"/>
      <c r="AK134" s="24" cm="1">
        <f t="array" ref="AK134">SUM(AE134:AJ134)</f>
        <v>0</v>
      </c>
      <c r="AL134" s="19"/>
    </row>
    <row r="135" ht="29.2" customHeight="1">
      <c r="AD135" t="s" s="32">
        <v>52</v>
      </c>
      <c r="AE135" s="18"/>
      <c r="AF135" s="19"/>
      <c r="AG135" s="19"/>
      <c r="AH135" s="19"/>
      <c r="AI135" s="19"/>
      <c r="AJ135" s="19"/>
      <c r="AK135" s="24" cm="1">
        <f t="array" ref="AK135">SUM(AE135:AJ135)</f>
        <v>0</v>
      </c>
      <c r="AL135" s="19"/>
    </row>
    <row r="136" ht="29.2" customHeight="1">
      <c r="AD136" t="s" s="32">
        <v>51</v>
      </c>
      <c r="AE136" s="18"/>
      <c r="AF136" s="19"/>
      <c r="AG136" s="19"/>
      <c r="AH136" s="19"/>
      <c r="AI136" s="19"/>
      <c r="AJ136" s="19"/>
      <c r="AK136" s="24" cm="1">
        <f t="array" ref="AK136">SUM(AE136:AJ136)</f>
        <v>0</v>
      </c>
      <c r="AL136" s="19"/>
    </row>
    <row r="137" ht="29.2" customHeight="1">
      <c r="AD137" t="s" s="95">
        <v>22</v>
      </c>
      <c r="AE137" s="18"/>
      <c r="AF137" s="133">
        <v>1</v>
      </c>
      <c r="AG137" s="133">
        <v>1</v>
      </c>
      <c r="AH137" s="48"/>
      <c r="AI137" s="19"/>
      <c r="AJ137" s="19"/>
      <c r="AK137" s="24" cm="1">
        <f t="array" ref="AK137">SUM(AE137:AJ137)</f>
        <v>2</v>
      </c>
      <c r="AL137" s="48"/>
    </row>
    <row r="138" ht="29.2" customHeight="1">
      <c r="AD138" t="s" s="95">
        <v>10</v>
      </c>
      <c r="AE138" s="134">
        <v>1</v>
      </c>
      <c r="AF138" s="133">
        <v>1</v>
      </c>
      <c r="AG138" s="19"/>
      <c r="AH138" s="133">
        <v>1</v>
      </c>
      <c r="AI138" s="19"/>
      <c r="AJ138" s="19"/>
      <c r="AK138" s="24" cm="1">
        <f t="array" ref="AK138">SUM(AE138:AJ138)</f>
        <v>3</v>
      </c>
      <c r="AL138" s="48"/>
    </row>
    <row r="139" ht="29.2" customHeight="1">
      <c r="AD139" t="s" s="44">
        <v>70</v>
      </c>
      <c r="AE139" s="18"/>
      <c r="AF139" s="19"/>
      <c r="AG139" s="19"/>
      <c r="AH139" s="19"/>
      <c r="AI139" s="19"/>
      <c r="AJ139" s="19"/>
      <c r="AK139" s="24" cm="1">
        <f t="array" ref="AK139">SUM(AE139:AJ139)</f>
        <v>0</v>
      </c>
      <c r="AL139" s="48"/>
    </row>
    <row r="140" ht="29.2" customHeight="1">
      <c r="AD140" t="s" s="44">
        <v>58</v>
      </c>
      <c r="AE140" s="18"/>
      <c r="AF140" s="19"/>
      <c r="AG140" s="19"/>
      <c r="AH140" s="19"/>
      <c r="AI140" s="19"/>
      <c r="AJ140" s="19"/>
      <c r="AK140" s="24" cm="1">
        <f t="array" ref="AK140">SUM(AE140:AJ140)</f>
        <v>0</v>
      </c>
      <c r="AL140" s="19"/>
    </row>
    <row r="141" ht="29.2" customHeight="1">
      <c r="AD141" t="s" s="44">
        <v>59</v>
      </c>
      <c r="AE141" s="18"/>
      <c r="AF141" s="19"/>
      <c r="AG141" s="19"/>
      <c r="AH141" s="19"/>
      <c r="AI141" s="19"/>
      <c r="AJ141" s="19"/>
      <c r="AK141" s="24" cm="1">
        <f t="array" ref="AK141">SUM(AE141:AJ141)</f>
        <v>0</v>
      </c>
      <c r="AL141" s="19"/>
    </row>
    <row r="142" ht="29.2" customHeight="1">
      <c r="AD142" t="s" s="44">
        <v>45</v>
      </c>
      <c r="AE142" s="18"/>
      <c r="AF142" s="19"/>
      <c r="AG142" s="19"/>
      <c r="AH142" s="19"/>
      <c r="AI142" s="19"/>
      <c r="AJ142" s="51">
        <v>1</v>
      </c>
      <c r="AK142" s="24" cm="1">
        <f t="array" ref="AK142">SUM(AE142:AJ142)</f>
        <v>1</v>
      </c>
      <c r="AL142" s="19"/>
    </row>
    <row r="143" ht="29.2" customHeight="1">
      <c r="AD143" t="s" s="44">
        <v>46</v>
      </c>
      <c r="AE143" s="18"/>
      <c r="AF143" s="19"/>
      <c r="AG143" s="19"/>
      <c r="AH143" s="19"/>
      <c r="AI143" s="19"/>
      <c r="AJ143" s="51">
        <v>1</v>
      </c>
      <c r="AK143" s="24" cm="1">
        <f t="array" ref="AK143">SUM(AE143:AJ143)</f>
        <v>1</v>
      </c>
      <c r="AL143" s="19"/>
    </row>
    <row r="144" ht="29.2" customHeight="1">
      <c r="AD144" t="s" s="44">
        <v>91</v>
      </c>
      <c r="AE144" s="18"/>
      <c r="AF144" s="19"/>
      <c r="AG144" s="54">
        <v>1</v>
      </c>
      <c r="AH144" s="19"/>
      <c r="AI144" s="19"/>
      <c r="AJ144" s="51">
        <v>1</v>
      </c>
      <c r="AK144" s="24" cm="1">
        <f t="array" ref="AK144">SUM(AE144:AJ144)</f>
        <v>2</v>
      </c>
      <c r="AL144" s="19"/>
    </row>
    <row r="145" ht="29.2" customHeight="1">
      <c r="AD145" t="s" s="44">
        <v>48</v>
      </c>
      <c r="AE145" s="57">
        <v>1</v>
      </c>
      <c r="AF145" s="19"/>
      <c r="AG145" s="54">
        <v>1</v>
      </c>
      <c r="AH145" s="19"/>
      <c r="AI145" s="19"/>
      <c r="AJ145" s="51">
        <v>1</v>
      </c>
      <c r="AK145" s="24" cm="1">
        <f t="array" ref="AK145">SUM(AE145:AJ145)</f>
        <v>3</v>
      </c>
      <c r="AL145" s="19"/>
    </row>
    <row r="146" ht="29.2" customHeight="1">
      <c r="AD146" t="s" s="44">
        <v>49</v>
      </c>
      <c r="AE146" s="57">
        <v>1</v>
      </c>
      <c r="AF146" s="19"/>
      <c r="AG146" s="19"/>
      <c r="AH146" s="19"/>
      <c r="AI146" s="19"/>
      <c r="AJ146" s="51">
        <v>1</v>
      </c>
      <c r="AK146" s="24" cm="1">
        <f t="array" ref="AK146">SUM(AE146:AJ146)</f>
        <v>2</v>
      </c>
      <c r="AL146" s="19"/>
    </row>
    <row r="147" ht="29.2" customHeight="1">
      <c r="AD147" t="s" s="44">
        <v>101</v>
      </c>
      <c r="AE147" s="18"/>
      <c r="AF147" s="19"/>
      <c r="AG147" s="19"/>
      <c r="AH147" s="19"/>
      <c r="AI147" s="19"/>
      <c r="AJ147" s="19"/>
      <c r="AK147" s="24" cm="1">
        <f t="array" ref="AK147">SUM(AE147:AJ147)</f>
        <v>0</v>
      </c>
      <c r="AL147" s="19"/>
    </row>
    <row r="148" ht="29.2" customHeight="1">
      <c r="AD148" t="s" s="32">
        <v>102</v>
      </c>
      <c r="AE148" s="18"/>
      <c r="AF148" s="19"/>
      <c r="AG148" s="19"/>
      <c r="AH148" s="19"/>
      <c r="AI148" s="19"/>
      <c r="AJ148" s="51">
        <v>2</v>
      </c>
      <c r="AK148" s="24" cm="1">
        <f t="array" ref="AK148">SUM(AE148:AJ148)</f>
        <v>2</v>
      </c>
      <c r="AL148" s="19"/>
    </row>
    <row r="149" ht="29.2" customHeight="1">
      <c r="AD149" t="s" s="49">
        <v>30</v>
      </c>
      <c r="AE149" s="12" cm="1">
        <f t="array" ref="AE149">SUM(AE120:AE148)</f>
        <v>6</v>
      </c>
      <c r="AF149" s="24" cm="1">
        <f t="array" ref="AF149">SUM(AF120:AF148)</f>
        <v>3</v>
      </c>
      <c r="AG149" s="24" cm="1">
        <f t="array" ref="AG149">SUM(AG120:AG148)</f>
        <v>3</v>
      </c>
      <c r="AH149" s="24" cm="1">
        <f t="array" ref="AH149">SUM(AH120:AH148)</f>
        <v>2</v>
      </c>
      <c r="AI149" s="24" cm="1">
        <f t="array" ref="AI149">SUM(AI120:AI148)</f>
        <v>0</v>
      </c>
      <c r="AJ149" s="24" cm="1">
        <f t="array" ref="AJ149">SUM(AJ120:AJ148)</f>
        <v>7</v>
      </c>
      <c r="AK149" s="24" cm="1">
        <f t="array" ref="AK149">AE149+AF149+AG149+AH149+AI149+AJ149</f>
        <v>21</v>
      </c>
      <c r="AL149" s="19"/>
    </row>
    <row r="151" ht="27.65" customHeight="1">
      <c r="AM151" t="s" s="2">
        <v>83</v>
      </c>
      <c r="AN151" s="2"/>
      <c r="AO151" s="2"/>
      <c r="AP151" s="2"/>
      <c r="AQ151" s="2"/>
      <c r="AR151" s="2"/>
      <c r="AS151" s="2"/>
      <c r="AT151" s="2"/>
      <c r="AU151" s="2"/>
      <c r="AV151" s="2"/>
    </row>
    <row r="152" ht="36.8" customHeight="1">
      <c r="AM152" s="35"/>
      <c r="AN152" t="s" s="3">
        <v>128</v>
      </c>
      <c r="AO152" t="s" s="3">
        <v>129</v>
      </c>
      <c r="AP152" t="s" s="3">
        <v>130</v>
      </c>
      <c r="AQ152" t="s" s="3">
        <v>131</v>
      </c>
      <c r="AR152" t="s" s="3">
        <v>132</v>
      </c>
      <c r="AS152" t="s" s="3">
        <v>133</v>
      </c>
      <c r="AT152" t="s" s="3">
        <v>67</v>
      </c>
      <c r="AU152" t="s" s="3">
        <v>68</v>
      </c>
      <c r="AV152" t="s" s="3">
        <v>69</v>
      </c>
    </row>
    <row r="153" ht="23.1" customHeight="1">
      <c r="AM153" t="s" s="6">
        <v>55</v>
      </c>
      <c r="AN153" s="136"/>
      <c r="AO153" s="137"/>
      <c r="AP153" s="123"/>
      <c r="AQ153" s="63"/>
      <c r="AR153" s="123"/>
      <c r="AS153" s="123"/>
      <c r="AT153" s="123"/>
      <c r="AU153" s="123"/>
      <c r="AV153" s="37"/>
    </row>
    <row r="154" ht="22.9" customHeight="1">
      <c r="AM154" t="s" s="11">
        <v>56</v>
      </c>
      <c r="AN154" s="55"/>
      <c r="AO154" s="48"/>
      <c r="AP154" s="48"/>
      <c r="AQ154" s="48"/>
      <c r="AR154" s="48"/>
      <c r="AS154" s="48"/>
      <c r="AT154" s="48"/>
      <c r="AU154" s="48"/>
      <c r="AV154" s="19"/>
    </row>
    <row r="155" ht="22.9" customHeight="1">
      <c r="AM155" t="s" s="11">
        <v>35</v>
      </c>
      <c r="AN155" s="55"/>
      <c r="AO155" s="48"/>
      <c r="AP155" s="48"/>
      <c r="AQ155" s="48"/>
      <c r="AR155" s="48"/>
      <c r="AS155" s="48"/>
      <c r="AT155" s="48"/>
      <c r="AU155" s="48"/>
      <c r="AV155" s="19"/>
    </row>
    <row r="156" ht="22.9" customHeight="1">
      <c r="AM156" t="s" s="11">
        <v>16</v>
      </c>
      <c r="AN156" s="66"/>
      <c r="AO156" s="48"/>
      <c r="AP156" s="48"/>
      <c r="AQ156" s="65"/>
      <c r="AR156" s="48"/>
      <c r="AS156" s="48"/>
      <c r="AT156" s="48"/>
      <c r="AU156" s="48"/>
      <c r="AV156" s="19"/>
    </row>
    <row r="157" ht="22.9" customHeight="1">
      <c r="AM157" t="s" s="11">
        <v>17</v>
      </c>
      <c r="AN157" s="55"/>
      <c r="AO157" s="48"/>
      <c r="AP157" s="48"/>
      <c r="AQ157" s="48"/>
      <c r="AR157" s="48"/>
      <c r="AS157" s="48"/>
      <c r="AT157" s="48"/>
      <c r="AU157" s="48"/>
      <c r="AV157" s="19"/>
    </row>
    <row r="158" ht="36.6" customHeight="1">
      <c r="AM158" t="s" s="11">
        <v>18</v>
      </c>
      <c r="AN158" s="55"/>
      <c r="AO158" s="48"/>
      <c r="AP158" s="48"/>
      <c r="AQ158" s="48"/>
      <c r="AR158" s="48"/>
      <c r="AS158" s="48"/>
      <c r="AT158" s="48"/>
      <c r="AU158" s="48"/>
      <c r="AV158" s="19"/>
    </row>
    <row r="159" ht="22.9" customHeight="1">
      <c r="AM159" t="s" s="11">
        <v>19</v>
      </c>
      <c r="AN159" s="55"/>
      <c r="AO159" s="48"/>
      <c r="AP159" s="48"/>
      <c r="AQ159" s="48"/>
      <c r="AR159" s="48"/>
      <c r="AS159" s="48"/>
      <c r="AT159" s="48"/>
      <c r="AU159" s="48"/>
      <c r="AV159" s="19"/>
    </row>
    <row r="160" ht="22.9" customHeight="1">
      <c r="AM160" t="s" s="11">
        <v>20</v>
      </c>
      <c r="AN160" s="55"/>
      <c r="AO160" s="48"/>
      <c r="AP160" s="48"/>
      <c r="AQ160" s="48"/>
      <c r="AR160" s="48"/>
      <c r="AS160" s="48"/>
      <c r="AT160" s="48"/>
      <c r="AU160" s="48"/>
      <c r="AV160" s="19"/>
    </row>
    <row r="161" ht="22.9" customHeight="1">
      <c r="AM161" t="s" s="11">
        <v>21</v>
      </c>
      <c r="AN161" s="55"/>
      <c r="AO161" s="48"/>
      <c r="AP161" s="48"/>
      <c r="AQ161" s="48"/>
      <c r="AR161" s="48"/>
      <c r="AS161" s="48"/>
      <c r="AT161" s="48"/>
      <c r="AU161" s="48"/>
      <c r="AV161" s="19"/>
    </row>
    <row r="162" ht="22.9" customHeight="1">
      <c r="AM162" t="s" s="11">
        <v>27</v>
      </c>
      <c r="AN162" s="66"/>
      <c r="AO162" s="27"/>
      <c r="AP162" s="27"/>
      <c r="AQ162" s="27"/>
      <c r="AR162" s="27"/>
      <c r="AS162" s="27"/>
      <c r="AT162" s="78"/>
      <c r="AU162" s="78"/>
      <c r="AV162" s="27"/>
    </row>
    <row r="163" ht="22.9" customHeight="1">
      <c r="AM163" t="s" s="11">
        <v>42</v>
      </c>
      <c r="AN163" s="55"/>
      <c r="AO163" s="48"/>
      <c r="AP163" s="48"/>
      <c r="AQ163" s="48"/>
      <c r="AR163" s="48"/>
      <c r="AS163" s="48"/>
      <c r="AT163" s="48"/>
      <c r="AU163" s="48"/>
      <c r="AV163" s="19"/>
    </row>
    <row r="164" ht="22.9" customHeight="1">
      <c r="AM164" t="s" s="11">
        <v>43</v>
      </c>
      <c r="AN164" s="55"/>
      <c r="AO164" s="48"/>
      <c r="AP164" s="48"/>
      <c r="AQ164" s="48"/>
      <c r="AR164" s="48"/>
      <c r="AS164" s="48"/>
      <c r="AT164" s="48"/>
      <c r="AU164" s="48"/>
      <c r="AV164" s="19"/>
    </row>
    <row r="165" ht="22.9" customHeight="1">
      <c r="AM165" t="s" s="11">
        <v>41</v>
      </c>
      <c r="AN165" s="55"/>
      <c r="AO165" s="48"/>
      <c r="AP165" s="48"/>
      <c r="AQ165" s="48"/>
      <c r="AR165" s="48"/>
      <c r="AS165" s="48"/>
      <c r="AT165" s="48"/>
      <c r="AU165" s="48"/>
      <c r="AV165" s="19"/>
    </row>
    <row r="166" ht="22.9" customHeight="1">
      <c r="AM166" t="s" s="11">
        <v>32</v>
      </c>
      <c r="AN166" s="55"/>
      <c r="AO166" s="48"/>
      <c r="AP166" s="48"/>
      <c r="AQ166" s="48"/>
      <c r="AR166" s="48"/>
      <c r="AS166" s="48"/>
      <c r="AT166" s="48"/>
      <c r="AU166" s="48"/>
      <c r="AV166" s="19"/>
    </row>
    <row r="167" ht="22.9" customHeight="1">
      <c r="AM167" t="s" s="64">
        <v>50</v>
      </c>
      <c r="AN167" s="55"/>
      <c r="AO167" s="48"/>
      <c r="AP167" s="48"/>
      <c r="AQ167" s="48"/>
      <c r="AR167" s="48"/>
      <c r="AS167" s="48"/>
      <c r="AT167" s="48"/>
      <c r="AU167" s="48"/>
      <c r="AV167" s="19"/>
    </row>
    <row r="168" ht="22.9" customHeight="1">
      <c r="AM168" t="s" s="64">
        <v>52</v>
      </c>
      <c r="AN168" s="55"/>
      <c r="AO168" s="48"/>
      <c r="AP168" s="48"/>
      <c r="AQ168" s="48"/>
      <c r="AR168" s="48"/>
      <c r="AS168" s="48"/>
      <c r="AT168" s="48"/>
      <c r="AU168" s="48"/>
      <c r="AV168" s="19"/>
    </row>
    <row r="169" ht="32.05" customHeight="1">
      <c r="AM169" t="s" s="64">
        <v>51</v>
      </c>
      <c r="AN169" s="55"/>
      <c r="AO169" s="48"/>
      <c r="AP169" s="48"/>
      <c r="AQ169" s="48"/>
      <c r="AR169" s="48"/>
      <c r="AS169" s="48"/>
      <c r="AT169" s="48"/>
      <c r="AU169" s="48"/>
      <c r="AV169" s="19"/>
    </row>
    <row r="170" ht="33.65" customHeight="1">
      <c r="AM170" t="s" s="95">
        <v>22</v>
      </c>
      <c r="AN170" s="66"/>
      <c r="AO170" s="65"/>
      <c r="AP170" s="65"/>
      <c r="AQ170" s="65"/>
      <c r="AR170" s="48"/>
      <c r="AS170" s="48"/>
      <c r="AT170" s="48"/>
      <c r="AU170" s="48"/>
      <c r="AV170" s="19"/>
    </row>
    <row r="171" ht="36.55" customHeight="1">
      <c r="AM171" t="s" s="95">
        <v>10</v>
      </c>
      <c r="AN171" s="66"/>
      <c r="AO171" s="65"/>
      <c r="AP171" s="65"/>
      <c r="AQ171" s="48"/>
      <c r="AR171" s="48"/>
      <c r="AS171" s="48"/>
      <c r="AT171" s="48"/>
      <c r="AU171" s="48"/>
      <c r="AV171" s="19"/>
    </row>
    <row r="172" ht="36.55" customHeight="1">
      <c r="AM172" t="s" s="95">
        <v>112</v>
      </c>
      <c r="AN172" s="55"/>
      <c r="AO172" s="48"/>
      <c r="AP172" s="48"/>
      <c r="AQ172" s="65"/>
      <c r="AR172" s="48"/>
      <c r="AS172" s="48"/>
      <c r="AT172" s="48"/>
      <c r="AU172" s="48"/>
      <c r="AV172" s="19"/>
    </row>
    <row r="173" ht="36.55" customHeight="1">
      <c r="AM173" t="s" s="95">
        <v>113</v>
      </c>
      <c r="AN173" s="55"/>
      <c r="AO173" s="48"/>
      <c r="AP173" s="48"/>
      <c r="AQ173" s="65"/>
      <c r="AR173" s="48"/>
      <c r="AS173" s="48"/>
      <c r="AT173" s="48"/>
      <c r="AU173" s="48"/>
      <c r="AV173" s="19"/>
    </row>
    <row r="174" ht="22.9" customHeight="1">
      <c r="AM174" t="s" s="44">
        <v>70</v>
      </c>
      <c r="AN174" s="55"/>
      <c r="AO174" s="48"/>
      <c r="AP174" s="48"/>
      <c r="AQ174" s="48"/>
      <c r="AR174" s="48"/>
      <c r="AS174" s="48"/>
      <c r="AT174" s="48"/>
      <c r="AU174" s="48"/>
      <c r="AV174" s="19"/>
    </row>
    <row r="175" ht="22.9" customHeight="1">
      <c r="AM175" t="s" s="44">
        <v>58</v>
      </c>
      <c r="AN175" s="55"/>
      <c r="AO175" s="48"/>
      <c r="AP175" s="48"/>
      <c r="AQ175" s="48"/>
      <c r="AR175" s="48"/>
      <c r="AS175" s="48"/>
      <c r="AT175" s="48"/>
      <c r="AU175" s="48"/>
      <c r="AV175" s="19"/>
    </row>
    <row r="176" ht="22.9" customHeight="1">
      <c r="AM176" t="s" s="44">
        <v>59</v>
      </c>
      <c r="AN176" s="55"/>
      <c r="AO176" s="78"/>
      <c r="AP176" s="78"/>
      <c r="AQ176" s="78"/>
      <c r="AR176" s="78"/>
      <c r="AS176" s="78"/>
      <c r="AT176" s="78"/>
      <c r="AU176" s="78"/>
      <c r="AV176" s="27"/>
    </row>
    <row r="177" ht="22.9" customHeight="1">
      <c r="AM177" t="s" s="44">
        <v>45</v>
      </c>
      <c r="AN177" s="66"/>
      <c r="AO177" s="48"/>
      <c r="AP177" s="48"/>
      <c r="AQ177" s="48"/>
      <c r="AR177" s="48"/>
      <c r="AS177" s="48"/>
      <c r="AT177" s="48"/>
      <c r="AU177" s="48"/>
      <c r="AV177" s="19"/>
    </row>
    <row r="178" ht="28.1" customHeight="1">
      <c r="AM178" t="s" s="44">
        <v>46</v>
      </c>
      <c r="AN178" s="66"/>
      <c r="AO178" s="48"/>
      <c r="AP178" s="48"/>
      <c r="AQ178" s="48"/>
      <c r="AR178" s="48"/>
      <c r="AS178" s="48"/>
      <c r="AT178" s="48"/>
      <c r="AU178" s="48"/>
      <c r="AV178" s="19"/>
    </row>
    <row r="179" ht="22.9" customHeight="1">
      <c r="AM179" t="s" s="64">
        <v>91</v>
      </c>
      <c r="AN179" s="66"/>
      <c r="AO179" s="48"/>
      <c r="AP179" s="127"/>
      <c r="AQ179" s="48"/>
      <c r="AR179" s="48"/>
      <c r="AS179" s="48"/>
      <c r="AT179" s="48"/>
      <c r="AU179" s="48"/>
      <c r="AV179" s="19"/>
    </row>
    <row r="180" ht="22.9" customHeight="1">
      <c r="AM180" t="s" s="21">
        <v>48</v>
      </c>
      <c r="AN180" s="66"/>
      <c r="AO180" s="48"/>
      <c r="AP180" s="65"/>
      <c r="AQ180" s="48"/>
      <c r="AR180" s="48"/>
      <c r="AS180" s="48"/>
      <c r="AT180" s="48"/>
      <c r="AU180" s="48"/>
      <c r="AV180" s="19"/>
    </row>
    <row r="181" ht="22.9" customHeight="1">
      <c r="AM181" t="s" s="21">
        <v>49</v>
      </c>
      <c r="AN181" s="66"/>
      <c r="AO181" s="48"/>
      <c r="AP181" s="65"/>
      <c r="AQ181" s="48"/>
      <c r="AR181" s="48"/>
      <c r="AS181" s="48"/>
      <c r="AT181" s="48"/>
      <c r="AU181" s="48"/>
      <c r="AV181" s="19"/>
    </row>
    <row r="182" ht="20.4" customHeight="1">
      <c r="AM182" t="s" s="44">
        <v>101</v>
      </c>
      <c r="AN182" s="55"/>
      <c r="AO182" s="48"/>
      <c r="AP182" s="48"/>
      <c r="AQ182" s="48"/>
      <c r="AR182" s="48"/>
      <c r="AS182" s="48"/>
      <c r="AT182" s="48"/>
      <c r="AU182" s="48"/>
      <c r="AV182" s="19"/>
    </row>
    <row r="183" ht="20.4" customHeight="1">
      <c r="AM183" t="s" s="32">
        <v>115</v>
      </c>
      <c r="AN183" s="55"/>
      <c r="AO183" s="48"/>
      <c r="AP183" s="65"/>
      <c r="AQ183" s="48"/>
      <c r="AR183" s="48"/>
      <c r="AS183" s="48"/>
      <c r="AT183" s="48"/>
      <c r="AU183" s="48"/>
      <c r="AV183" s="19"/>
    </row>
    <row r="184" ht="20.4" customHeight="1">
      <c r="AM184" t="s" s="32">
        <v>109</v>
      </c>
      <c r="AN184" s="55"/>
      <c r="AO184" s="19"/>
      <c r="AP184" s="19"/>
      <c r="AQ184" s="19"/>
      <c r="AR184" s="19"/>
      <c r="AS184" s="19"/>
      <c r="AT184" s="19"/>
      <c r="AU184" s="19"/>
      <c r="AV184" s="128"/>
    </row>
    <row r="185" ht="20.4" customHeight="1">
      <c r="AM185" t="s" s="32">
        <v>102</v>
      </c>
      <c r="AN185" s="124"/>
      <c r="AO185" s="19"/>
      <c r="AP185" s="19"/>
      <c r="AQ185" s="19"/>
      <c r="AR185" s="19"/>
      <c r="AS185" s="19"/>
      <c r="AT185" s="19"/>
      <c r="AU185" s="19"/>
      <c r="AV185" s="128"/>
    </row>
    <row r="186" ht="20.4" customHeight="1">
      <c r="AM186" t="s" s="49">
        <v>30</v>
      </c>
      <c r="AN186" s="12" cm="1">
        <f t="array" ref="AN186">SUM(AN153:AN185)</f>
        <v>0</v>
      </c>
      <c r="AO186" s="24" cm="1">
        <f t="array" ref="AO186">SUM(AO153:AO185)</f>
        <v>0</v>
      </c>
      <c r="AP186" s="24" cm="1">
        <f t="array" ref="AP186">SUM(AP153:AP185)</f>
        <v>0</v>
      </c>
      <c r="AQ186" s="24" cm="1">
        <f t="array" ref="AQ186">SUM(AQ153:AQ185)</f>
        <v>0</v>
      </c>
      <c r="AR186" s="24" cm="1">
        <f t="array" ref="AR186">SUM(AR153:AR185)</f>
        <v>0</v>
      </c>
      <c r="AS186" s="24" cm="1">
        <f t="array" ref="AS186">SUM(AS153:AS185)</f>
        <v>0</v>
      </c>
      <c r="AT186" s="24" cm="1">
        <f t="array" ref="AT186">SUM(AT153:AT185)</f>
        <v>0</v>
      </c>
      <c r="AU186" s="24" cm="1">
        <f t="array" ref="AU186">SUM(AU153:AU185)</f>
        <v>0</v>
      </c>
      <c r="AV186" s="24" cm="1">
        <f t="array" ref="AV186">SUM(AV153:AV185)</f>
        <v>0</v>
      </c>
    </row>
    <row r="188" ht="27.65" customHeight="1">
      <c r="AW188" t="s" s="2">
        <v>76</v>
      </c>
      <c r="AX188" s="2"/>
      <c r="AY188" s="2"/>
      <c r="AZ188" s="2"/>
      <c r="BA188" s="2"/>
      <c r="BB188" s="2"/>
      <c r="BC188" s="2"/>
      <c r="BD188" s="2"/>
      <c r="BE188" s="2"/>
    </row>
    <row r="189" ht="36" customHeight="1">
      <c r="AW189" s="35"/>
      <c r="AX189" t="s" s="3">
        <v>128</v>
      </c>
      <c r="AY189" t="s" s="3">
        <v>129</v>
      </c>
      <c r="AZ189" t="s" s="3">
        <v>130</v>
      </c>
      <c r="BA189" t="s" s="3">
        <v>131</v>
      </c>
      <c r="BB189" t="s" s="3">
        <v>132</v>
      </c>
      <c r="BC189" t="s" s="3">
        <v>133</v>
      </c>
      <c r="BD189" t="s" s="3">
        <v>53</v>
      </c>
      <c r="BE189" t="s" s="3">
        <v>67</v>
      </c>
    </row>
    <row r="190" ht="22.6" customHeight="1">
      <c r="AW190" t="s" s="6">
        <v>55</v>
      </c>
      <c r="AX190" s="46"/>
      <c r="AY190" s="139">
        <v>1</v>
      </c>
      <c r="AZ190" s="37"/>
      <c r="BA190" s="140">
        <v>1</v>
      </c>
      <c r="BB190" s="37"/>
      <c r="BC190" s="37"/>
      <c r="BD190" s="47" cm="1">
        <f t="array" ref="BD190">SUM(AX190:BC190)</f>
        <v>2</v>
      </c>
      <c r="BE190" s="37"/>
    </row>
    <row r="191" ht="22.4" customHeight="1">
      <c r="AW191" t="s" s="11">
        <v>56</v>
      </c>
      <c r="AX191" s="18"/>
      <c r="AY191" s="19"/>
      <c r="AZ191" s="19"/>
      <c r="BA191" s="19"/>
      <c r="BB191" s="19"/>
      <c r="BC191" s="19"/>
      <c r="BD191" s="24" cm="1">
        <f t="array" ref="BD191">SUM(AX191:BC191)</f>
        <v>0</v>
      </c>
      <c r="BE191" s="19"/>
    </row>
    <row r="192" ht="22.4" customHeight="1">
      <c r="AW192" t="s" s="11">
        <v>35</v>
      </c>
      <c r="AX192" s="55"/>
      <c r="AY192" s="48"/>
      <c r="AZ192" s="48"/>
      <c r="BA192" s="48"/>
      <c r="BB192" s="48"/>
      <c r="BC192" s="48"/>
      <c r="BD192" s="24" cm="1">
        <f t="array" ref="BD192">SUM(AX192:BC192)</f>
        <v>0</v>
      </c>
      <c r="BE192" s="19"/>
    </row>
    <row r="193" ht="22.4" customHeight="1">
      <c r="AW193" t="s" s="11">
        <v>16</v>
      </c>
      <c r="AX193" s="52">
        <v>1</v>
      </c>
      <c r="AY193" s="48"/>
      <c r="AZ193" s="141">
        <v>1</v>
      </c>
      <c r="BA193" s="141">
        <v>1</v>
      </c>
      <c r="BB193" s="48"/>
      <c r="BC193" s="48"/>
      <c r="BD193" s="24" cm="1">
        <f t="array" ref="BD193">SUM(AX193:BC193)</f>
        <v>3</v>
      </c>
      <c r="BE193" s="19"/>
    </row>
    <row r="194" ht="22.4" customHeight="1">
      <c r="AW194" t="s" s="11">
        <v>17</v>
      </c>
      <c r="AX194" s="55"/>
      <c r="AY194" s="48"/>
      <c r="AZ194" s="48"/>
      <c r="BA194" s="48"/>
      <c r="BB194" s="48"/>
      <c r="BC194" s="48"/>
      <c r="BD194" s="24" cm="1">
        <f t="array" ref="BD194">SUM(AX194:BC194)</f>
        <v>0</v>
      </c>
      <c r="BE194" s="19"/>
    </row>
    <row r="195" ht="22.4" customHeight="1">
      <c r="AW195" t="s" s="11">
        <v>18</v>
      </c>
      <c r="AX195" s="55"/>
      <c r="AY195" s="48"/>
      <c r="AZ195" s="48"/>
      <c r="BA195" s="48"/>
      <c r="BB195" s="48"/>
      <c r="BC195" s="48"/>
      <c r="BD195" s="24" cm="1">
        <f t="array" ref="BD195">SUM(AX195:BC195)</f>
        <v>0</v>
      </c>
      <c r="BE195" s="19"/>
    </row>
    <row r="196" ht="22.4" customHeight="1">
      <c r="AW196" t="s" s="11">
        <v>19</v>
      </c>
      <c r="AX196" s="55"/>
      <c r="AY196" s="48"/>
      <c r="AZ196" s="48"/>
      <c r="BA196" s="48"/>
      <c r="BB196" s="48"/>
      <c r="BC196" s="48"/>
      <c r="BD196" s="24" cm="1">
        <f t="array" ref="BD196">SUM(AX196:BC196)</f>
        <v>0</v>
      </c>
      <c r="BE196" s="19"/>
    </row>
    <row r="197" ht="22.4" customHeight="1">
      <c r="AW197" t="s" s="11">
        <v>20</v>
      </c>
      <c r="AX197" s="55"/>
      <c r="AY197" s="48"/>
      <c r="AZ197" s="48"/>
      <c r="BA197" s="48"/>
      <c r="BB197" s="48"/>
      <c r="BC197" s="48"/>
      <c r="BD197" s="24" cm="1">
        <f t="array" ref="BD197">SUM(AX197:BC197)</f>
        <v>0</v>
      </c>
      <c r="BE197" s="19"/>
    </row>
    <row r="198" ht="22.4" customHeight="1">
      <c r="AW198" t="s" s="11">
        <v>21</v>
      </c>
      <c r="AX198" s="55"/>
      <c r="AY198" s="48"/>
      <c r="AZ198" s="48"/>
      <c r="BA198" s="48"/>
      <c r="BB198" s="48"/>
      <c r="BC198" s="48"/>
      <c r="BD198" s="24" cm="1">
        <f t="array" ref="BD198">SUM(AX198:BC198)</f>
        <v>0</v>
      </c>
      <c r="BE198" s="19"/>
    </row>
    <row r="199" ht="22.4" customHeight="1">
      <c r="AW199" t="s" s="11">
        <v>27</v>
      </c>
      <c r="AX199" s="52">
        <v>1</v>
      </c>
      <c r="AY199" s="48"/>
      <c r="AZ199" s="48"/>
      <c r="BA199" s="48"/>
      <c r="BB199" s="48"/>
      <c r="BC199" s="48"/>
      <c r="BD199" s="24" cm="1">
        <f t="array" ref="BD199">SUM(AX199:BC199)</f>
        <v>1</v>
      </c>
      <c r="BE199" s="19"/>
    </row>
    <row r="200" ht="22.4" customHeight="1">
      <c r="AW200" t="s" s="11">
        <v>42</v>
      </c>
      <c r="AX200" s="55"/>
      <c r="AY200" s="48"/>
      <c r="AZ200" s="48"/>
      <c r="BA200" s="48"/>
      <c r="BB200" s="48"/>
      <c r="BC200" s="48"/>
      <c r="BD200" s="24" cm="1">
        <f t="array" ref="BD200">SUM(AX200:BC200)</f>
        <v>0</v>
      </c>
      <c r="BE200" s="19"/>
    </row>
    <row r="201" ht="22.4" customHeight="1">
      <c r="AW201" t="s" s="11">
        <v>43</v>
      </c>
      <c r="AX201" s="55"/>
      <c r="AY201" s="48"/>
      <c r="AZ201" s="48"/>
      <c r="BA201" s="48"/>
      <c r="BB201" s="48"/>
      <c r="BC201" s="48"/>
      <c r="BD201" s="24" cm="1">
        <f t="array" ref="BD201">SUM(AX201:BC201)</f>
        <v>0</v>
      </c>
      <c r="BE201" s="19"/>
    </row>
    <row r="202" ht="22.4" customHeight="1">
      <c r="AW202" t="s" s="11">
        <v>41</v>
      </c>
      <c r="AX202" s="55"/>
      <c r="AY202" s="48"/>
      <c r="AZ202" s="48"/>
      <c r="BA202" s="48"/>
      <c r="BB202" s="48"/>
      <c r="BC202" s="48"/>
      <c r="BD202" s="24" cm="1">
        <f t="array" ref="BD202">SUM(AX202:BC202)</f>
        <v>0</v>
      </c>
      <c r="BE202" s="19"/>
    </row>
    <row r="203" ht="22.4" customHeight="1">
      <c r="AW203" t="s" s="11">
        <v>32</v>
      </c>
      <c r="AX203" s="55"/>
      <c r="AY203" s="48"/>
      <c r="AZ203" s="48"/>
      <c r="BA203" s="48"/>
      <c r="BB203" s="48"/>
      <c r="BC203" s="48"/>
      <c r="BD203" s="24" cm="1">
        <f t="array" ref="BD203">SUM(AX203:BC203)</f>
        <v>0</v>
      </c>
      <c r="BE203" s="19"/>
    </row>
    <row r="204" ht="22.4" customHeight="1">
      <c r="AW204" t="s" s="32">
        <v>50</v>
      </c>
      <c r="AX204" s="55"/>
      <c r="AY204" s="48"/>
      <c r="AZ204" s="48"/>
      <c r="BA204" s="48"/>
      <c r="BB204" s="48"/>
      <c r="BC204" s="48"/>
      <c r="BD204" s="24" cm="1">
        <f t="array" ref="BD204">SUM(AX204:BC204)</f>
        <v>0</v>
      </c>
      <c r="BE204" s="19"/>
    </row>
    <row r="205" ht="22.4" customHeight="1">
      <c r="AW205" t="s" s="32">
        <v>52</v>
      </c>
      <c r="AX205" s="55"/>
      <c r="AY205" s="48"/>
      <c r="AZ205" s="48"/>
      <c r="BA205" s="48"/>
      <c r="BB205" s="48"/>
      <c r="BC205" s="48"/>
      <c r="BD205" s="24" cm="1">
        <f t="array" ref="BD205">SUM(AX205:BC205)</f>
        <v>0</v>
      </c>
      <c r="BE205" s="19"/>
    </row>
    <row r="206" ht="22.4" customHeight="1">
      <c r="AW206" t="s" s="32">
        <v>51</v>
      </c>
      <c r="AX206" s="55"/>
      <c r="AY206" s="48"/>
      <c r="AZ206" s="48"/>
      <c r="BA206" s="48"/>
      <c r="BB206" s="48"/>
      <c r="BC206" s="48"/>
      <c r="BD206" s="24" cm="1">
        <f t="array" ref="BD206">SUM(AX206:BC206)</f>
        <v>0</v>
      </c>
      <c r="BE206" s="19"/>
    </row>
    <row r="207" ht="26.95" customHeight="1">
      <c r="AW207" t="s" s="95">
        <v>22</v>
      </c>
      <c r="AX207" s="134">
        <v>1</v>
      </c>
      <c r="AY207" s="133">
        <v>1</v>
      </c>
      <c r="AZ207" s="133">
        <v>1</v>
      </c>
      <c r="BA207" s="48"/>
      <c r="BB207" s="48"/>
      <c r="BC207" s="48"/>
      <c r="BD207" s="24" cm="1">
        <f t="array" ref="BD207">SUM(AX207:BC207)</f>
        <v>3</v>
      </c>
      <c r="BE207" s="48"/>
    </row>
    <row r="208" ht="35.8" customHeight="1">
      <c r="AW208" t="s" s="95">
        <v>10</v>
      </c>
      <c r="AX208" s="134">
        <v>1</v>
      </c>
      <c r="AY208" s="133">
        <v>1</v>
      </c>
      <c r="AZ208" s="133">
        <v>1</v>
      </c>
      <c r="BA208" s="133">
        <v>1</v>
      </c>
      <c r="BB208" s="133">
        <v>1</v>
      </c>
      <c r="BC208" s="133">
        <v>1</v>
      </c>
      <c r="BD208" s="24" cm="1">
        <f t="array" ref="BD208">SUM(AX208:BC208)</f>
        <v>6</v>
      </c>
      <c r="BE208" s="48"/>
    </row>
    <row r="209" ht="35.8" customHeight="1">
      <c r="AW209" t="s" s="95">
        <v>112</v>
      </c>
      <c r="AX209" s="55"/>
      <c r="AY209" s="48"/>
      <c r="AZ209" s="48"/>
      <c r="BA209" s="142"/>
      <c r="BB209" s="48"/>
      <c r="BC209" s="48"/>
      <c r="BD209" s="24" cm="1">
        <f t="array" ref="BD209">SUM(AX209:BC209)</f>
        <v>0</v>
      </c>
      <c r="BE209" s="48"/>
    </row>
    <row r="210" ht="35.8" customHeight="1">
      <c r="AW210" t="s" s="95">
        <v>113</v>
      </c>
      <c r="AX210" s="55"/>
      <c r="AY210" s="48"/>
      <c r="AZ210" s="48"/>
      <c r="BA210" s="142"/>
      <c r="BB210" s="48"/>
      <c r="BC210" s="48"/>
      <c r="BD210" s="24" cm="1">
        <f t="array" ref="BD210">SUM(AX210:BC210)</f>
        <v>0</v>
      </c>
      <c r="BE210" s="48"/>
    </row>
    <row r="211" ht="22.4" customHeight="1">
      <c r="AW211" t="s" s="44">
        <v>70</v>
      </c>
      <c r="AX211" s="55"/>
      <c r="AY211" s="48"/>
      <c r="AZ211" s="48"/>
      <c r="BA211" s="48"/>
      <c r="BB211" s="48"/>
      <c r="BC211" s="48"/>
      <c r="BD211" s="24" cm="1">
        <f t="array" ref="BD211">SUM(AX211:BC211)</f>
        <v>0</v>
      </c>
      <c r="BE211" s="19"/>
    </row>
    <row r="212" ht="22.4" customHeight="1">
      <c r="AW212" t="s" s="44">
        <v>58</v>
      </c>
      <c r="AX212" s="55"/>
      <c r="AY212" s="48"/>
      <c r="AZ212" s="48"/>
      <c r="BA212" s="48"/>
      <c r="BB212" s="48"/>
      <c r="BC212" s="48"/>
      <c r="BD212" s="24" cm="1">
        <f t="array" ref="BD212">SUM(AX212:BC212)</f>
        <v>0</v>
      </c>
      <c r="BE212" s="19"/>
    </row>
    <row r="213" ht="22.4" customHeight="1">
      <c r="AW213" t="s" s="44">
        <v>59</v>
      </c>
      <c r="AX213" s="55"/>
      <c r="AY213" s="48"/>
      <c r="AZ213" s="48"/>
      <c r="BA213" s="48"/>
      <c r="BB213" s="48"/>
      <c r="BC213" s="48"/>
      <c r="BD213" s="24" cm="1">
        <f t="array" ref="BD213">SUM(AX213:BC213)</f>
        <v>0</v>
      </c>
      <c r="BE213" s="19"/>
    </row>
    <row r="214" ht="22.4" customHeight="1">
      <c r="AW214" t="s" s="44">
        <v>45</v>
      </c>
      <c r="AX214" s="52">
        <v>1</v>
      </c>
      <c r="AY214" s="48"/>
      <c r="AZ214" s="132">
        <v>1</v>
      </c>
      <c r="BA214" s="48"/>
      <c r="BB214" s="48"/>
      <c r="BC214" s="51">
        <v>1</v>
      </c>
      <c r="BD214" s="24" cm="1">
        <f t="array" ref="BD214">SUM(AX214:BC214)</f>
        <v>3</v>
      </c>
      <c r="BE214" s="24">
        <v>1</v>
      </c>
    </row>
    <row r="215" ht="35.8" customHeight="1">
      <c r="AW215" t="s" s="44">
        <v>46</v>
      </c>
      <c r="AX215" s="52">
        <v>1</v>
      </c>
      <c r="AY215" s="48"/>
      <c r="AZ215" s="132">
        <v>1</v>
      </c>
      <c r="BA215" s="48"/>
      <c r="BB215" s="48"/>
      <c r="BC215" s="51">
        <v>1</v>
      </c>
      <c r="BD215" s="24" cm="1">
        <f t="array" ref="BD215">SUM(AX215:BC215)</f>
        <v>3</v>
      </c>
      <c r="BE215" s="24">
        <v>1</v>
      </c>
    </row>
    <row r="216" ht="35.8" customHeight="1">
      <c r="AW216" t="s" s="44">
        <v>91</v>
      </c>
      <c r="AX216" s="52">
        <v>1</v>
      </c>
      <c r="AY216" s="48"/>
      <c r="AZ216" s="132">
        <v>1</v>
      </c>
      <c r="BA216" s="48"/>
      <c r="BB216" s="48"/>
      <c r="BC216" s="48"/>
      <c r="BD216" s="24" cm="1">
        <f t="array" ref="BD216">SUM(AX216:BC216)</f>
        <v>2</v>
      </c>
      <c r="BE216" s="143">
        <v>3</v>
      </c>
    </row>
    <row r="217" ht="22.4" customHeight="1">
      <c r="AW217" t="s" s="44">
        <v>48</v>
      </c>
      <c r="AX217" s="57">
        <v>1</v>
      </c>
      <c r="AY217" s="48"/>
      <c r="AZ217" s="58">
        <v>1</v>
      </c>
      <c r="BA217" s="48"/>
      <c r="BB217" s="48"/>
      <c r="BC217" s="48"/>
      <c r="BD217" s="143" cm="1">
        <f t="array" ref="BD217">SUM(AX217:BC217)</f>
        <v>2</v>
      </c>
      <c r="BE217" s="143">
        <v>2</v>
      </c>
    </row>
    <row r="218" ht="22.4" customHeight="1">
      <c r="AW218" t="s" s="44">
        <v>49</v>
      </c>
      <c r="AX218" s="57">
        <v>1</v>
      </c>
      <c r="AY218" s="48"/>
      <c r="AZ218" s="58">
        <v>1</v>
      </c>
      <c r="BA218" s="48"/>
      <c r="BB218" s="48"/>
      <c r="BC218" s="48"/>
      <c r="BD218" s="143" cm="1">
        <f t="array" ref="BD218">SUM(AX218:BC218)</f>
        <v>2</v>
      </c>
      <c r="BE218" s="143">
        <v>2</v>
      </c>
    </row>
    <row r="219" ht="22.4" customHeight="1">
      <c r="AW219" t="s" s="44">
        <v>101</v>
      </c>
      <c r="AX219" s="55"/>
      <c r="AY219" s="48"/>
      <c r="AZ219" s="48"/>
      <c r="BA219" s="48"/>
      <c r="BB219" s="48"/>
      <c r="BC219" s="48"/>
      <c r="BD219" s="143" cm="1">
        <f t="array" ref="BD219">SUM(AX219:BC219)</f>
        <v>0</v>
      </c>
      <c r="BE219" s="48"/>
    </row>
    <row r="220" ht="22.4" customHeight="1">
      <c r="AW220" t="s" s="32">
        <v>115</v>
      </c>
      <c r="AX220" s="55"/>
      <c r="AY220" s="48"/>
      <c r="AZ220" s="58">
        <v>1</v>
      </c>
      <c r="BA220" s="48"/>
      <c r="BB220" s="48"/>
      <c r="BC220" s="48"/>
      <c r="BD220" s="143" cm="1">
        <f t="array" ref="BD220">SUM(AX220:BC220)</f>
        <v>1</v>
      </c>
      <c r="BE220" s="48"/>
    </row>
    <row r="221" ht="22.4" customHeight="1">
      <c r="AW221" t="s" s="32">
        <v>102</v>
      </c>
      <c r="AX221" s="131">
        <v>2</v>
      </c>
      <c r="AY221" s="19"/>
      <c r="AZ221" s="19"/>
      <c r="BA221" s="19"/>
      <c r="BB221" s="19"/>
      <c r="BC221" s="19"/>
      <c r="BD221" s="143" cm="1">
        <f t="array" ref="BD221">SUM(AX221:BC221)</f>
        <v>2</v>
      </c>
      <c r="BE221" s="48"/>
    </row>
    <row r="222" ht="32.9" customHeight="1">
      <c r="AW222" t="s" s="49">
        <v>30</v>
      </c>
      <c r="AX222" s="12" cm="1">
        <f t="array" ref="AX222">SUM(AX190:AX221)</f>
        <v>11</v>
      </c>
      <c r="AY222" s="24" cm="1">
        <f t="array" ref="AY222">SUM(AY190:AY221)</f>
        <v>3</v>
      </c>
      <c r="AZ222" s="24" cm="1">
        <f t="array" ref="AZ222">SUM(AZ190:AZ221)</f>
        <v>9</v>
      </c>
      <c r="BA222" s="24" cm="1">
        <f t="array" ref="BA222">SUM(BA190:BA221)</f>
        <v>3</v>
      </c>
      <c r="BB222" s="24" cm="1">
        <f t="array" ref="BB222">SUM(BB190:BB221)</f>
        <v>1</v>
      </c>
      <c r="BC222" s="24" cm="1">
        <f t="array" ref="BC222">SUM(BC190:BC221)</f>
        <v>3</v>
      </c>
      <c r="BD222" s="24" cm="1">
        <f t="array" ref="BD222">SUM(BD190:BD221)</f>
        <v>30</v>
      </c>
      <c r="BE222" s="48"/>
    </row>
    <row r="224" ht="27.65" customHeight="1">
      <c r="BF224" t="s" s="2">
        <v>92</v>
      </c>
      <c r="BG224" s="2"/>
      <c r="BH224" s="2"/>
      <c r="BI224" s="2"/>
      <c r="BJ224" s="2"/>
      <c r="BK224" s="2"/>
      <c r="BL224" s="2"/>
      <c r="BM224" s="2"/>
      <c r="BN224" s="2"/>
      <c r="BO224" s="2"/>
    </row>
    <row r="225" ht="41.7" customHeight="1">
      <c r="BF225" s="35"/>
      <c r="BG225" t="s" s="3">
        <v>134</v>
      </c>
      <c r="BH225" t="s" s="3">
        <v>135</v>
      </c>
      <c r="BI225" t="s" s="3">
        <v>136</v>
      </c>
      <c r="BJ225" t="s" s="3">
        <v>137</v>
      </c>
      <c r="BK225" t="s" s="3">
        <v>138</v>
      </c>
      <c r="BL225" t="s" s="3">
        <v>139</v>
      </c>
      <c r="BM225" t="s" s="3">
        <v>67</v>
      </c>
      <c r="BN225" t="s" s="3">
        <v>68</v>
      </c>
      <c r="BO225" t="s" s="3">
        <v>69</v>
      </c>
    </row>
    <row r="226" ht="26.25" customHeight="1">
      <c r="BF226" t="s" s="6">
        <v>55</v>
      </c>
      <c r="BG226" s="136"/>
      <c r="BH226" s="137"/>
      <c r="BI226" s="123"/>
      <c r="BJ226" s="63"/>
      <c r="BK226" s="123"/>
      <c r="BL226" s="123"/>
      <c r="BM226" s="123"/>
      <c r="BN226" s="123"/>
      <c r="BO226" s="37"/>
    </row>
    <row r="227" ht="25.95" customHeight="1">
      <c r="BF227" t="s" s="11">
        <v>56</v>
      </c>
      <c r="BG227" s="55"/>
      <c r="BH227" s="48"/>
      <c r="BI227" s="48"/>
      <c r="BJ227" s="48"/>
      <c r="BK227" s="48"/>
      <c r="BL227" s="48"/>
      <c r="BM227" s="48"/>
      <c r="BN227" s="48"/>
      <c r="BO227" s="19"/>
    </row>
    <row r="228" ht="25.95" customHeight="1">
      <c r="BF228" t="s" s="11">
        <v>35</v>
      </c>
      <c r="BG228" s="55"/>
      <c r="BH228" s="48"/>
      <c r="BI228" s="48"/>
      <c r="BJ228" s="48"/>
      <c r="BK228" s="48"/>
      <c r="BL228" s="48"/>
      <c r="BM228" s="48"/>
      <c r="BN228" s="48"/>
      <c r="BO228" s="19"/>
    </row>
    <row r="229" ht="25.95" customHeight="1">
      <c r="BF229" t="s" s="11">
        <v>16</v>
      </c>
      <c r="BG229" s="55"/>
      <c r="BH229" s="48"/>
      <c r="BI229" s="48"/>
      <c r="BJ229" s="65"/>
      <c r="BK229" s="48"/>
      <c r="BL229" s="48"/>
      <c r="BM229" s="48"/>
      <c r="BN229" s="48"/>
      <c r="BO229" s="19"/>
    </row>
    <row r="230" ht="25.95" customHeight="1">
      <c r="BF230" t="s" s="11">
        <v>17</v>
      </c>
      <c r="BG230" s="55"/>
      <c r="BH230" s="48"/>
      <c r="BI230" s="48"/>
      <c r="BJ230" s="48"/>
      <c r="BK230" s="48"/>
      <c r="BL230" s="48"/>
      <c r="BM230" s="48"/>
      <c r="BN230" s="48"/>
      <c r="BO230" s="19"/>
    </row>
    <row r="231" ht="41.5" customHeight="1">
      <c r="BF231" t="s" s="11">
        <v>18</v>
      </c>
      <c r="BG231" s="55"/>
      <c r="BH231" s="48"/>
      <c r="BI231" s="48"/>
      <c r="BJ231" s="48"/>
      <c r="BK231" s="48"/>
      <c r="BL231" s="48"/>
      <c r="BM231" s="48"/>
      <c r="BN231" s="48"/>
      <c r="BO231" s="19"/>
    </row>
    <row r="232" ht="25.95" customHeight="1">
      <c r="BF232" t="s" s="11">
        <v>19</v>
      </c>
      <c r="BG232" s="55"/>
      <c r="BH232" s="48"/>
      <c r="BI232" s="48"/>
      <c r="BJ232" s="48"/>
      <c r="BK232" s="48"/>
      <c r="BL232" s="48"/>
      <c r="BM232" s="48"/>
      <c r="BN232" s="48"/>
      <c r="BO232" s="19"/>
    </row>
    <row r="233" ht="25.95" customHeight="1">
      <c r="BF233" t="s" s="11">
        <v>20</v>
      </c>
      <c r="BG233" s="55"/>
      <c r="BH233" s="48"/>
      <c r="BI233" s="48"/>
      <c r="BJ233" s="48"/>
      <c r="BK233" s="48"/>
      <c r="BL233" s="48"/>
      <c r="BM233" s="48"/>
      <c r="BN233" s="48"/>
      <c r="BO233" s="19"/>
    </row>
    <row r="234" ht="25.95" customHeight="1">
      <c r="BF234" t="s" s="11">
        <v>21</v>
      </c>
      <c r="BG234" s="55"/>
      <c r="BH234" s="48"/>
      <c r="BI234" s="48"/>
      <c r="BJ234" s="48"/>
      <c r="BK234" s="48"/>
      <c r="BL234" s="48"/>
      <c r="BM234" s="48"/>
      <c r="BN234" s="48"/>
      <c r="BO234" s="19"/>
    </row>
    <row r="235" ht="25.95" customHeight="1">
      <c r="BF235" t="s" s="11">
        <v>27</v>
      </c>
      <c r="BG235" s="55"/>
      <c r="BH235" s="78"/>
      <c r="BI235" s="78"/>
      <c r="BJ235" s="78"/>
      <c r="BK235" s="78"/>
      <c r="BL235" s="78"/>
      <c r="BM235" s="78"/>
      <c r="BN235" s="78"/>
      <c r="BO235" s="27"/>
    </row>
    <row r="236" ht="25.95" customHeight="1">
      <c r="BF236" t="s" s="11">
        <v>42</v>
      </c>
      <c r="BG236" s="55"/>
      <c r="BH236" s="48"/>
      <c r="BI236" s="48"/>
      <c r="BJ236" s="48"/>
      <c r="BK236" s="48"/>
      <c r="BL236" s="48"/>
      <c r="BM236" s="48"/>
      <c r="BN236" s="48"/>
      <c r="BO236" s="19"/>
    </row>
    <row r="237" ht="25.95" customHeight="1">
      <c r="BF237" t="s" s="11">
        <v>43</v>
      </c>
      <c r="BG237" s="55"/>
      <c r="BH237" s="48"/>
      <c r="BI237" s="48"/>
      <c r="BJ237" s="48"/>
      <c r="BK237" s="48"/>
      <c r="BL237" s="48"/>
      <c r="BM237" s="48"/>
      <c r="BN237" s="48"/>
      <c r="BO237" s="19"/>
    </row>
    <row r="238" ht="25.95" customHeight="1">
      <c r="BF238" t="s" s="11">
        <v>41</v>
      </c>
      <c r="BG238" s="55"/>
      <c r="BH238" s="48"/>
      <c r="BI238" s="48"/>
      <c r="BJ238" s="48"/>
      <c r="BK238" s="48"/>
      <c r="BL238" s="48"/>
      <c r="BM238" s="48"/>
      <c r="BN238" s="48"/>
      <c r="BO238" s="19"/>
    </row>
    <row r="239" ht="25.95" customHeight="1">
      <c r="BF239" t="s" s="11">
        <v>32</v>
      </c>
      <c r="BG239" s="55"/>
      <c r="BH239" s="48"/>
      <c r="BI239" s="48"/>
      <c r="BJ239" s="48"/>
      <c r="BK239" s="48"/>
      <c r="BL239" s="48"/>
      <c r="BM239" s="48"/>
      <c r="BN239" s="48"/>
      <c r="BO239" s="19"/>
    </row>
    <row r="240" ht="25.95" customHeight="1">
      <c r="BF240" t="s" s="64">
        <v>50</v>
      </c>
      <c r="BG240" s="55"/>
      <c r="BH240" s="48"/>
      <c r="BI240" s="48"/>
      <c r="BJ240" s="48"/>
      <c r="BK240" s="48"/>
      <c r="BL240" s="48"/>
      <c r="BM240" s="48"/>
      <c r="BN240" s="48"/>
      <c r="BO240" s="19"/>
    </row>
    <row r="241" ht="25.95" customHeight="1">
      <c r="BF241" t="s" s="64">
        <v>52</v>
      </c>
      <c r="BG241" s="55"/>
      <c r="BH241" s="48"/>
      <c r="BI241" s="48"/>
      <c r="BJ241" s="48"/>
      <c r="BK241" s="48"/>
      <c r="BL241" s="48"/>
      <c r="BM241" s="48"/>
      <c r="BN241" s="48"/>
      <c r="BO241" s="19"/>
    </row>
    <row r="242" ht="45.35" customHeight="1">
      <c r="BF242" t="s" s="64">
        <v>51</v>
      </c>
      <c r="BG242" s="55"/>
      <c r="BH242" s="48"/>
      <c r="BI242" s="48"/>
      <c r="BJ242" s="48"/>
      <c r="BK242" s="48"/>
      <c r="BL242" s="48"/>
      <c r="BM242" s="48"/>
      <c r="BN242" s="48"/>
      <c r="BO242" s="19"/>
    </row>
    <row r="243" ht="25.95" customHeight="1">
      <c r="BF243" t="s" s="95">
        <v>22</v>
      </c>
      <c r="BG243" s="66"/>
      <c r="BH243" s="65"/>
      <c r="BI243" s="48"/>
      <c r="BJ243" s="48"/>
      <c r="BK243" s="48"/>
      <c r="BL243" s="65"/>
      <c r="BM243" s="48"/>
      <c r="BN243" s="48"/>
      <c r="BO243" s="19"/>
    </row>
    <row r="244" ht="25.95" customHeight="1">
      <c r="BF244" t="s" s="95">
        <v>10</v>
      </c>
      <c r="BG244" s="66"/>
      <c r="BH244" s="65"/>
      <c r="BI244" s="65"/>
      <c r="BJ244" s="48"/>
      <c r="BK244" s="48"/>
      <c r="BL244" s="65"/>
      <c r="BM244" s="48"/>
      <c r="BN244" s="48"/>
      <c r="BO244" s="19"/>
    </row>
    <row r="245" ht="25.95" customHeight="1">
      <c r="BF245" t="s" s="95">
        <v>112</v>
      </c>
      <c r="BG245" s="55"/>
      <c r="BH245" s="48"/>
      <c r="BI245" s="48"/>
      <c r="BJ245" s="48"/>
      <c r="BK245" s="48"/>
      <c r="BL245" s="48"/>
      <c r="BM245" s="48"/>
      <c r="BN245" s="48"/>
      <c r="BO245" s="19"/>
    </row>
    <row r="246" ht="25.95" customHeight="1">
      <c r="BF246" t="s" s="95">
        <v>113</v>
      </c>
      <c r="BG246" s="55"/>
      <c r="BH246" s="48"/>
      <c r="BI246" s="48"/>
      <c r="BJ246" s="48"/>
      <c r="BK246" s="48"/>
      <c r="BL246" s="48"/>
      <c r="BM246" s="48"/>
      <c r="BN246" s="48"/>
      <c r="BO246" s="19"/>
    </row>
    <row r="247" ht="25.95" customHeight="1">
      <c r="BF247" t="s" s="44">
        <v>70</v>
      </c>
      <c r="BG247" s="55"/>
      <c r="BH247" s="48"/>
      <c r="BI247" s="48"/>
      <c r="BJ247" s="48"/>
      <c r="BK247" s="48"/>
      <c r="BL247" s="48"/>
      <c r="BM247" s="48"/>
      <c r="BN247" s="48"/>
      <c r="BO247" s="19"/>
    </row>
    <row r="248" ht="38.2" customHeight="1">
      <c r="BF248" t="s" s="44">
        <v>58</v>
      </c>
      <c r="BG248" s="55"/>
      <c r="BH248" s="48"/>
      <c r="BI248" s="48"/>
      <c r="BJ248" s="48"/>
      <c r="BK248" s="48"/>
      <c r="BL248" s="48"/>
      <c r="BM248" s="48"/>
      <c r="BN248" s="48"/>
      <c r="BO248" s="19"/>
    </row>
    <row r="249" ht="41.45" customHeight="1">
      <c r="BF249" t="s" s="44">
        <v>59</v>
      </c>
      <c r="BG249" s="55"/>
      <c r="BH249" s="78"/>
      <c r="BI249" s="78"/>
      <c r="BJ249" s="78"/>
      <c r="BK249" s="78"/>
      <c r="BL249" s="78"/>
      <c r="BM249" s="78"/>
      <c r="BN249" s="78"/>
      <c r="BO249" s="27"/>
    </row>
    <row r="250" ht="25.95" customHeight="1">
      <c r="BF250" t="s" s="44">
        <v>45</v>
      </c>
      <c r="BG250" s="55"/>
      <c r="BH250" s="126"/>
      <c r="BI250" s="48"/>
      <c r="BJ250" s="48"/>
      <c r="BK250" s="48"/>
      <c r="BL250" s="48"/>
      <c r="BM250" s="48"/>
      <c r="BN250" s="48"/>
      <c r="BO250" s="19"/>
    </row>
    <row r="251" ht="37.6" customHeight="1">
      <c r="BF251" t="s" s="44">
        <v>46</v>
      </c>
      <c r="BG251" s="55"/>
      <c r="BH251" s="126"/>
      <c r="BI251" s="48"/>
      <c r="BJ251" s="48"/>
      <c r="BK251" s="48"/>
      <c r="BL251" s="48"/>
      <c r="BM251" s="48"/>
      <c r="BN251" s="48"/>
      <c r="BO251" s="19"/>
    </row>
    <row r="252" ht="25.95" customHeight="1">
      <c r="BF252" t="s" s="64">
        <v>91</v>
      </c>
      <c r="BG252" s="55"/>
      <c r="BH252" s="48"/>
      <c r="BI252" s="145"/>
      <c r="BJ252" s="48"/>
      <c r="BK252" s="48"/>
      <c r="BL252" s="65"/>
      <c r="BM252" s="48"/>
      <c r="BN252" s="48"/>
      <c r="BO252" s="19"/>
    </row>
    <row r="253" ht="25.95" customHeight="1">
      <c r="BF253" t="s" s="21">
        <v>48</v>
      </c>
      <c r="BG253" s="66"/>
      <c r="BH253" s="48"/>
      <c r="BI253" s="65"/>
      <c r="BJ253" s="48"/>
      <c r="BK253" s="48"/>
      <c r="BL253" s="65"/>
      <c r="BM253" s="48"/>
      <c r="BN253" s="48"/>
      <c r="BO253" s="19"/>
    </row>
    <row r="254" ht="25.95" customHeight="1">
      <c r="BF254" t="s" s="21">
        <v>49</v>
      </c>
      <c r="BG254" s="66"/>
      <c r="BH254" s="48"/>
      <c r="BI254" s="48"/>
      <c r="BJ254" s="48"/>
      <c r="BK254" s="48"/>
      <c r="BL254" s="48"/>
      <c r="BM254" s="48"/>
      <c r="BN254" s="48"/>
      <c r="BO254" s="19"/>
    </row>
    <row r="255" ht="55.8" customHeight="1">
      <c r="BF255" t="s" s="44">
        <v>101</v>
      </c>
      <c r="BG255" s="55"/>
      <c r="BH255" s="48"/>
      <c r="BI255" s="48"/>
      <c r="BJ255" s="48"/>
      <c r="BK255" s="48"/>
      <c r="BL255" s="48"/>
      <c r="BM255" s="48"/>
      <c r="BN255" s="48"/>
      <c r="BO255" s="19"/>
    </row>
    <row r="256" ht="39.05" customHeight="1">
      <c r="BF256" t="s" s="32">
        <v>115</v>
      </c>
      <c r="BG256" s="66"/>
      <c r="BH256" s="48"/>
      <c r="BI256" s="65"/>
      <c r="BJ256" s="48"/>
      <c r="BK256" s="48"/>
      <c r="BL256" s="48"/>
      <c r="BM256" s="48"/>
      <c r="BN256" s="48"/>
      <c r="BO256" s="19"/>
    </row>
    <row r="257" ht="28.2" customHeight="1">
      <c r="BF257" t="s" s="32">
        <v>109</v>
      </c>
      <c r="BG257" s="66"/>
      <c r="BH257" s="65"/>
      <c r="BI257" s="65"/>
      <c r="BJ257" s="65"/>
      <c r="BK257" s="65"/>
      <c r="BL257" s="48"/>
      <c r="BM257" s="48"/>
      <c r="BN257" s="48"/>
      <c r="BO257" s="19"/>
    </row>
    <row r="258" ht="21.5" customHeight="1">
      <c r="BF258" t="s" s="32">
        <v>102</v>
      </c>
      <c r="BG258" s="124"/>
      <c r="BH258" s="48"/>
      <c r="BI258" s="48"/>
      <c r="BJ258" s="48"/>
      <c r="BK258" s="48"/>
      <c r="BL258" s="65"/>
      <c r="BM258" s="48"/>
      <c r="BN258" s="48"/>
      <c r="BO258" s="128"/>
    </row>
    <row r="259" ht="21.5" customHeight="1">
      <c r="BF259" t="s" s="49">
        <v>30</v>
      </c>
      <c r="BG259" s="12" cm="1">
        <f t="array" ref="BG259">SUM(BG226:BG258)</f>
        <v>0</v>
      </c>
      <c r="BH259" s="24" cm="1">
        <f t="array" ref="BH259">SUM(BH226:BH258)</f>
        <v>0</v>
      </c>
      <c r="BI259" s="24" cm="1">
        <f t="array" ref="BI259">SUM(BI226:BI258)</f>
        <v>0</v>
      </c>
      <c r="BJ259" s="24" cm="1">
        <f t="array" ref="BJ259">SUM(BJ226:BJ258)</f>
        <v>0</v>
      </c>
      <c r="BK259" s="24" cm="1">
        <f t="array" ref="BK259">SUM(BK226:BK258)</f>
        <v>0</v>
      </c>
      <c r="BL259" s="24" cm="1">
        <f t="array" ref="BL259">SUM(BL226:BL258)</f>
        <v>0</v>
      </c>
      <c r="BM259" s="24" cm="1">
        <f t="array" ref="BM259">SUM(BM226:BM258)</f>
        <v>0</v>
      </c>
      <c r="BN259" s="24" cm="1">
        <f t="array" ref="BN259">SUM(BN226:BN258)</f>
        <v>0</v>
      </c>
      <c r="BO259" s="24" cm="1">
        <f t="array" ref="BO259">SUM(BO226:BO258)</f>
        <v>0</v>
      </c>
    </row>
    <row r="261" ht="27.65" customHeight="1">
      <c r="BP261" t="s" s="2">
        <v>84</v>
      </c>
      <c r="BQ261" s="2"/>
      <c r="BR261" s="2"/>
      <c r="BS261" s="2"/>
      <c r="BT261" s="2"/>
      <c r="BU261" s="2"/>
      <c r="BV261" s="2"/>
      <c r="BW261" s="2"/>
      <c r="BX261" s="2"/>
    </row>
    <row r="262" ht="42.3" customHeight="1">
      <c r="BP262" s="35"/>
      <c r="BQ262" t="s" s="3">
        <v>134</v>
      </c>
      <c r="BR262" t="s" s="3">
        <v>135</v>
      </c>
      <c r="BS262" t="s" s="3">
        <v>136</v>
      </c>
      <c r="BT262" t="s" s="3">
        <v>137</v>
      </c>
      <c r="BU262" t="s" s="3">
        <v>138</v>
      </c>
      <c r="BV262" t="s" s="3">
        <v>139</v>
      </c>
      <c r="BW262" t="s" s="3">
        <v>53</v>
      </c>
      <c r="BX262" t="s" s="3">
        <v>67</v>
      </c>
    </row>
    <row r="263" ht="26.6" customHeight="1">
      <c r="BP263" t="s" s="6">
        <v>55</v>
      </c>
      <c r="BQ263" s="136"/>
      <c r="BR263" s="139">
        <v>1</v>
      </c>
      <c r="BS263" s="123"/>
      <c r="BT263" s="139">
        <v>1</v>
      </c>
      <c r="BU263" s="123"/>
      <c r="BV263" s="123"/>
      <c r="BW263" s="47" cm="1">
        <f t="array" ref="BW263">SUM(BQ263:BV263)</f>
        <v>2</v>
      </c>
      <c r="BX263" s="37"/>
    </row>
    <row r="264" ht="26.35" customHeight="1">
      <c r="BP264" t="s" s="11">
        <v>56</v>
      </c>
      <c r="BQ264" s="55"/>
      <c r="BR264" s="48"/>
      <c r="BS264" s="48"/>
      <c r="BT264" s="48"/>
      <c r="BU264" s="48"/>
      <c r="BV264" s="48"/>
      <c r="BW264" s="24" cm="1">
        <f t="array" ref="BW264">SUM(BQ264:BV264)</f>
        <v>0</v>
      </c>
      <c r="BX264" s="19"/>
    </row>
    <row r="265" ht="26.35" customHeight="1">
      <c r="BP265" t="s" s="11">
        <v>35</v>
      </c>
      <c r="BQ265" s="55"/>
      <c r="BR265" s="48"/>
      <c r="BS265" s="48"/>
      <c r="BT265" s="48"/>
      <c r="BU265" s="48"/>
      <c r="BV265" s="48"/>
      <c r="BW265" s="24" cm="1">
        <f t="array" ref="BW265">SUM(BQ265:BV265)</f>
        <v>0</v>
      </c>
      <c r="BX265" s="19"/>
    </row>
    <row r="266" ht="26.35" customHeight="1">
      <c r="BP266" t="s" s="11">
        <v>16</v>
      </c>
      <c r="BQ266" s="55"/>
      <c r="BR266" s="48"/>
      <c r="BS266" s="48"/>
      <c r="BT266" s="147">
        <v>1</v>
      </c>
      <c r="BU266" s="48"/>
      <c r="BV266" s="48"/>
      <c r="BW266" s="24" cm="1">
        <f t="array" ref="BW266">SUM(BQ266:BV266)</f>
        <v>1</v>
      </c>
      <c r="BX266" s="19"/>
    </row>
    <row r="267" ht="26.35" customHeight="1">
      <c r="BP267" t="s" s="11">
        <v>17</v>
      </c>
      <c r="BQ267" s="55"/>
      <c r="BR267" s="48"/>
      <c r="BS267" s="48"/>
      <c r="BT267" s="48"/>
      <c r="BU267" s="48"/>
      <c r="BV267" s="48"/>
      <c r="BW267" s="24" cm="1">
        <f t="array" ref="BW267">SUM(BQ267:BV267)</f>
        <v>0</v>
      </c>
      <c r="BX267" s="19"/>
    </row>
    <row r="268" ht="42.05" customHeight="1">
      <c r="BP268" t="s" s="11">
        <v>18</v>
      </c>
      <c r="BQ268" s="55"/>
      <c r="BR268" s="48"/>
      <c r="BS268" s="48"/>
      <c r="BT268" s="48"/>
      <c r="BU268" s="48"/>
      <c r="BV268" s="48"/>
      <c r="BW268" s="24" cm="1">
        <f t="array" ref="BW268">SUM(BQ268:BV268)</f>
        <v>0</v>
      </c>
      <c r="BX268" s="19"/>
    </row>
    <row r="269" ht="26.35" customHeight="1">
      <c r="BP269" t="s" s="11">
        <v>19</v>
      </c>
      <c r="BQ269" s="55"/>
      <c r="BR269" s="48"/>
      <c r="BS269" s="48"/>
      <c r="BT269" s="48"/>
      <c r="BU269" s="48"/>
      <c r="BV269" s="48"/>
      <c r="BW269" s="24" cm="1">
        <f t="array" ref="BW269">SUM(BQ269:BV269)</f>
        <v>0</v>
      </c>
      <c r="BX269" s="19"/>
    </row>
    <row r="270" ht="26.35" customHeight="1">
      <c r="BP270" t="s" s="11">
        <v>20</v>
      </c>
      <c r="BQ270" s="55"/>
      <c r="BR270" s="48"/>
      <c r="BS270" s="48"/>
      <c r="BT270" s="48"/>
      <c r="BU270" s="48"/>
      <c r="BV270" s="48"/>
      <c r="BW270" s="24" cm="1">
        <f t="array" ref="BW270">SUM(BQ270:BV270)</f>
        <v>0</v>
      </c>
      <c r="BX270" s="19"/>
    </row>
    <row r="271" ht="26.35" customHeight="1">
      <c r="BP271" t="s" s="11">
        <v>21</v>
      </c>
      <c r="BQ271" s="55"/>
      <c r="BR271" s="48"/>
      <c r="BS271" s="48"/>
      <c r="BT271" s="48"/>
      <c r="BU271" s="48"/>
      <c r="BV271" s="48"/>
      <c r="BW271" s="24" cm="1">
        <f t="array" ref="BW271">SUM(BQ271:BV271)</f>
        <v>0</v>
      </c>
      <c r="BX271" s="19"/>
    </row>
    <row r="272" ht="26.35" customHeight="1">
      <c r="BP272" t="s" s="11">
        <v>27</v>
      </c>
      <c r="BQ272" s="55"/>
      <c r="BR272" s="48"/>
      <c r="BS272" s="48"/>
      <c r="BT272" s="48"/>
      <c r="BU272" s="48"/>
      <c r="BV272" s="48"/>
      <c r="BW272" s="24" cm="1">
        <f t="array" ref="BW272">SUM(BQ272:BV272)</f>
        <v>0</v>
      </c>
      <c r="BX272" s="19"/>
    </row>
    <row r="273" ht="26.35" customHeight="1">
      <c r="BP273" t="s" s="11">
        <v>42</v>
      </c>
      <c r="BQ273" s="55"/>
      <c r="BR273" s="48"/>
      <c r="BS273" s="48"/>
      <c r="BT273" s="48"/>
      <c r="BU273" s="48"/>
      <c r="BV273" s="48"/>
      <c r="BW273" s="24" cm="1">
        <f t="array" ref="BW273">SUM(BQ273:BV273)</f>
        <v>0</v>
      </c>
      <c r="BX273" s="19"/>
    </row>
    <row r="274" ht="26.35" customHeight="1">
      <c r="BP274" t="s" s="11">
        <v>43</v>
      </c>
      <c r="BQ274" s="55"/>
      <c r="BR274" s="48"/>
      <c r="BS274" s="48"/>
      <c r="BT274" s="48"/>
      <c r="BU274" s="48"/>
      <c r="BV274" s="48"/>
      <c r="BW274" s="24" cm="1">
        <f t="array" ref="BW274">SUM(BQ274:BV274)</f>
        <v>0</v>
      </c>
      <c r="BX274" s="19"/>
    </row>
    <row r="275" ht="26.35" customHeight="1">
      <c r="BP275" t="s" s="11">
        <v>41</v>
      </c>
      <c r="BQ275" s="55"/>
      <c r="BR275" s="48"/>
      <c r="BS275" s="48"/>
      <c r="BT275" s="48"/>
      <c r="BU275" s="48"/>
      <c r="BV275" s="48"/>
      <c r="BW275" s="24" cm="1">
        <f t="array" ref="BW275">SUM(BQ275:BV275)</f>
        <v>0</v>
      </c>
      <c r="BX275" s="19"/>
    </row>
    <row r="276" ht="26.35" customHeight="1">
      <c r="BP276" t="s" s="11">
        <v>32</v>
      </c>
      <c r="BQ276" s="55"/>
      <c r="BR276" s="48"/>
      <c r="BS276" s="48"/>
      <c r="BT276" s="48"/>
      <c r="BU276" s="48"/>
      <c r="BV276" s="48"/>
      <c r="BW276" s="24" cm="1">
        <f t="array" ref="BW276">SUM(BQ276:BV276)</f>
        <v>0</v>
      </c>
      <c r="BX276" s="19"/>
    </row>
    <row r="277" ht="26.35" customHeight="1">
      <c r="BP277" t="s" s="32">
        <v>50</v>
      </c>
      <c r="BQ277" s="55"/>
      <c r="BR277" s="48"/>
      <c r="BS277" s="48"/>
      <c r="BT277" s="48"/>
      <c r="BU277" s="48"/>
      <c r="BV277" s="48"/>
      <c r="BW277" s="24" cm="1">
        <f t="array" ref="BW277">SUM(BQ277:BV277)</f>
        <v>0</v>
      </c>
      <c r="BX277" s="19"/>
    </row>
    <row r="278" ht="26.35" customHeight="1">
      <c r="BP278" t="s" s="32">
        <v>52</v>
      </c>
      <c r="BQ278" s="55"/>
      <c r="BR278" s="48"/>
      <c r="BS278" s="48"/>
      <c r="BT278" s="48"/>
      <c r="BU278" s="48"/>
      <c r="BV278" s="48"/>
      <c r="BW278" s="24" cm="1">
        <f t="array" ref="BW278">SUM(BQ278:BV278)</f>
        <v>0</v>
      </c>
      <c r="BX278" s="19"/>
    </row>
    <row r="279" ht="26.35" customHeight="1">
      <c r="BP279" t="s" s="32">
        <v>51</v>
      </c>
      <c r="BQ279" s="55"/>
      <c r="BR279" s="48"/>
      <c r="BS279" s="48"/>
      <c r="BT279" s="48"/>
      <c r="BU279" s="48"/>
      <c r="BV279" s="48"/>
      <c r="BW279" s="24" cm="1">
        <f t="array" ref="BW279">SUM(BQ279:BV279)</f>
        <v>0</v>
      </c>
      <c r="BX279" s="19"/>
    </row>
    <row r="280" ht="26.35" customHeight="1">
      <c r="BP280" t="s" s="95">
        <v>22</v>
      </c>
      <c r="BQ280" s="134">
        <v>1</v>
      </c>
      <c r="BR280" s="133">
        <v>1</v>
      </c>
      <c r="BS280" s="48"/>
      <c r="BT280" s="48"/>
      <c r="BU280" s="48"/>
      <c r="BV280" s="133">
        <v>1</v>
      </c>
      <c r="BW280" s="24" cm="1">
        <f t="array" ref="BW280">SUM(BQ280:BV280)</f>
        <v>3</v>
      </c>
      <c r="BX280" s="19"/>
    </row>
    <row r="281" ht="20.7" customHeight="1">
      <c r="BP281" t="s" s="95">
        <v>10</v>
      </c>
      <c r="BQ281" s="134">
        <v>2</v>
      </c>
      <c r="BR281" s="142"/>
      <c r="BS281" s="142"/>
      <c r="BT281" s="48"/>
      <c r="BU281" s="48"/>
      <c r="BV281" s="142"/>
      <c r="BW281" s="24" cm="1">
        <f t="array" ref="BW281">SUM(BQ281:BV281)</f>
        <v>2</v>
      </c>
      <c r="BX281" s="19"/>
    </row>
    <row r="282" ht="20.7" customHeight="1">
      <c r="BP282" t="s" s="95">
        <v>112</v>
      </c>
      <c r="BQ282" s="55"/>
      <c r="BR282" s="48"/>
      <c r="BS282" s="48"/>
      <c r="BT282" s="48"/>
      <c r="BU282" s="48"/>
      <c r="BV282" s="48"/>
      <c r="BW282" s="24" cm="1">
        <f t="array" ref="BW282">SUM(BQ282:BV282)</f>
        <v>0</v>
      </c>
      <c r="BX282" s="19"/>
    </row>
    <row r="283" ht="20.7" customHeight="1">
      <c r="BP283" t="s" s="95">
        <v>113</v>
      </c>
      <c r="BQ283" s="55"/>
      <c r="BR283" s="48"/>
      <c r="BS283" s="48"/>
      <c r="BT283" s="48"/>
      <c r="BU283" s="48"/>
      <c r="BV283" s="48"/>
      <c r="BW283" s="24" cm="1">
        <f t="array" ref="BW283">SUM(BQ283:BV283)</f>
        <v>0</v>
      </c>
      <c r="BX283" s="19"/>
    </row>
    <row r="284" ht="26.35" customHeight="1">
      <c r="BP284" t="s" s="44">
        <v>70</v>
      </c>
      <c r="BQ284" s="55"/>
      <c r="BR284" s="48"/>
      <c r="BS284" s="48"/>
      <c r="BT284" s="48"/>
      <c r="BU284" s="48"/>
      <c r="BV284" s="48"/>
      <c r="BW284" s="24" cm="1">
        <f t="array" ref="BW284">SUM(BQ284:BV284)</f>
        <v>0</v>
      </c>
      <c r="BX284" s="19"/>
    </row>
    <row r="285" ht="38.7" customHeight="1">
      <c r="BP285" t="s" s="44">
        <v>58</v>
      </c>
      <c r="BQ285" s="55"/>
      <c r="BR285" s="48"/>
      <c r="BS285" s="48"/>
      <c r="BT285" s="48"/>
      <c r="BU285" s="48"/>
      <c r="BV285" s="48"/>
      <c r="BW285" s="24" cm="1">
        <f t="array" ref="BW285">SUM(BQ285:BV285)</f>
        <v>0</v>
      </c>
      <c r="BX285" s="19"/>
    </row>
    <row r="286" ht="26.35" customHeight="1">
      <c r="BP286" t="s" s="44">
        <v>59</v>
      </c>
      <c r="BQ286" s="55"/>
      <c r="BR286" s="48"/>
      <c r="BS286" s="48"/>
      <c r="BT286" s="48"/>
      <c r="BU286" s="48"/>
      <c r="BV286" s="48"/>
      <c r="BW286" s="24" cm="1">
        <f t="array" ref="BW286">SUM(BQ286:BV286)</f>
        <v>0</v>
      </c>
      <c r="BX286" s="19"/>
    </row>
    <row r="287" ht="39.8" customHeight="1">
      <c r="BP287" t="s" s="44">
        <v>45</v>
      </c>
      <c r="BQ287" s="55"/>
      <c r="BR287" s="132">
        <v>1</v>
      </c>
      <c r="BS287" s="48"/>
      <c r="BT287" s="48"/>
      <c r="BU287" s="48"/>
      <c r="BV287" s="48"/>
      <c r="BW287" s="24" cm="1">
        <f t="array" ref="BW287">SUM(BQ287:BV287)</f>
        <v>1</v>
      </c>
      <c r="BX287" s="19"/>
    </row>
    <row r="288" ht="39.8" customHeight="1">
      <c r="BP288" t="s" s="44">
        <v>46</v>
      </c>
      <c r="BQ288" s="55"/>
      <c r="BR288" s="132">
        <v>1</v>
      </c>
      <c r="BS288" s="48"/>
      <c r="BT288" s="48"/>
      <c r="BU288" s="48"/>
      <c r="BV288" s="48"/>
      <c r="BW288" s="24" cm="1">
        <f t="array" ref="BW288">SUM(BQ288:BV288)</f>
        <v>1</v>
      </c>
      <c r="BX288" s="19"/>
    </row>
    <row r="289" ht="26.35" customHeight="1">
      <c r="BP289" t="s" s="44">
        <v>91</v>
      </c>
      <c r="BQ289" s="55"/>
      <c r="BR289" s="48"/>
      <c r="BS289" s="48"/>
      <c r="BT289" s="48"/>
      <c r="BU289" s="48"/>
      <c r="BV289" s="51">
        <v>1</v>
      </c>
      <c r="BW289" s="24" cm="1">
        <f t="array" ref="BW289">SUM(BQ289:BV289)</f>
        <v>1</v>
      </c>
      <c r="BX289" s="24">
        <v>3</v>
      </c>
    </row>
    <row r="290" ht="26.35" customHeight="1">
      <c r="BP290" t="s" s="44">
        <v>48</v>
      </c>
      <c r="BQ290" s="57">
        <v>1</v>
      </c>
      <c r="BR290" s="48"/>
      <c r="BS290" s="58">
        <v>1</v>
      </c>
      <c r="BT290" s="48"/>
      <c r="BU290" s="48"/>
      <c r="BV290" s="51">
        <v>1</v>
      </c>
      <c r="BW290" s="24" cm="1">
        <f t="array" ref="BW290">SUM(BQ290:BV290)</f>
        <v>3</v>
      </c>
      <c r="BX290" s="24">
        <v>1</v>
      </c>
    </row>
    <row r="291" ht="26.35" customHeight="1">
      <c r="BP291" t="s" s="44">
        <v>49</v>
      </c>
      <c r="BQ291" s="57">
        <v>1</v>
      </c>
      <c r="BR291" s="48"/>
      <c r="BS291" s="48"/>
      <c r="BT291" s="48"/>
      <c r="BU291" s="48"/>
      <c r="BV291" s="48"/>
      <c r="BW291" s="24" cm="1">
        <f t="array" ref="BW291">SUM(BQ291:BV291)</f>
        <v>1</v>
      </c>
      <c r="BX291" s="19"/>
    </row>
    <row r="292" ht="26.35" customHeight="1">
      <c r="BP292" t="s" s="44">
        <v>101</v>
      </c>
      <c r="BQ292" s="18"/>
      <c r="BR292" s="48"/>
      <c r="BS292" s="19"/>
      <c r="BT292" s="19"/>
      <c r="BU292" s="19"/>
      <c r="BV292" s="19"/>
      <c r="BW292" s="24" cm="1">
        <f t="array" ref="BW292">SUM(BQ292:BV292)</f>
        <v>0</v>
      </c>
      <c r="BX292" s="19"/>
    </row>
    <row r="293" ht="26.35" customHeight="1">
      <c r="BP293" t="s" s="32">
        <v>115</v>
      </c>
      <c r="BQ293" s="57">
        <v>1</v>
      </c>
      <c r="BR293" s="48"/>
      <c r="BS293" s="58">
        <v>1</v>
      </c>
      <c r="BT293" s="19"/>
      <c r="BU293" s="19"/>
      <c r="BV293" s="19"/>
      <c r="BW293" s="24" cm="1">
        <f t="array" ref="BW293">SUM(BQ293:BV293)</f>
        <v>2</v>
      </c>
      <c r="BX293" s="19"/>
    </row>
    <row r="294" ht="26.35" customHeight="1">
      <c r="BP294" t="s" s="32">
        <v>140</v>
      </c>
      <c r="BQ294" s="131">
        <v>1</v>
      </c>
      <c r="BR294" s="132">
        <v>1</v>
      </c>
      <c r="BS294" s="132">
        <v>1</v>
      </c>
      <c r="BT294" s="132">
        <v>1</v>
      </c>
      <c r="BU294" s="132">
        <v>1</v>
      </c>
      <c r="BV294" s="19"/>
      <c r="BW294" s="24" cm="1">
        <f t="array" ref="BW294">SUM(BQ294:BV294)</f>
        <v>5</v>
      </c>
      <c r="BX294" s="19"/>
    </row>
    <row r="295" ht="26.35" customHeight="1">
      <c r="BP295" t="s" s="32">
        <v>102</v>
      </c>
      <c r="BQ295" s="131">
        <v>2</v>
      </c>
      <c r="BR295" s="19"/>
      <c r="BS295" s="19"/>
      <c r="BT295" s="19"/>
      <c r="BU295" s="19"/>
      <c r="BV295" s="51">
        <v>1</v>
      </c>
      <c r="BW295" s="24" cm="1">
        <f t="array" ref="BW295">SUM(BQ295:BV295)</f>
        <v>3</v>
      </c>
      <c r="BX295" s="19"/>
    </row>
    <row r="296" ht="32.35" customHeight="1">
      <c r="BP296" t="s" s="49">
        <v>30</v>
      </c>
      <c r="BQ296" s="12" cm="1">
        <f t="array" ref="BQ296">SUM(BQ263:BQ295)</f>
        <v>9</v>
      </c>
      <c r="BR296" s="24" cm="1">
        <f t="array" ref="BR296">SUM(BR263:BR295)</f>
        <v>5</v>
      </c>
      <c r="BS296" s="24" cm="1">
        <f t="array" ref="BS296">SUM(BS263:BS295)</f>
        <v>3</v>
      </c>
      <c r="BT296" s="24" cm="1">
        <f t="array" ref="BT296">SUM(BT263:BT295)</f>
        <v>3</v>
      </c>
      <c r="BU296" s="24" cm="1">
        <f t="array" ref="BU296">SUM(BU263:BU295)</f>
        <v>1</v>
      </c>
      <c r="BV296" s="24" cm="1">
        <f t="array" ref="BV296">SUM(BV263:BV295)</f>
        <v>4</v>
      </c>
      <c r="BW296" s="24" cm="1">
        <f t="array" ref="BW296">SUM(BW263:BW295)</f>
        <v>25</v>
      </c>
      <c r="BX296" s="19"/>
    </row>
    <row r="298" ht="27.65" customHeight="1">
      <c r="BY298" t="s" s="2">
        <v>94</v>
      </c>
      <c r="BZ298" s="2"/>
      <c r="CA298" s="2"/>
      <c r="CB298" s="2"/>
      <c r="CC298" s="2"/>
      <c r="CD298" s="2"/>
      <c r="CE298" s="2"/>
      <c r="CF298" s="2"/>
      <c r="CG298" s="2"/>
    </row>
    <row r="299" ht="48.15" customHeight="1">
      <c r="BY299" s="35"/>
      <c r="BZ299" t="s" s="3">
        <v>141</v>
      </c>
      <c r="CA299" t="s" s="3">
        <v>142</v>
      </c>
      <c r="CB299" t="s" s="3">
        <v>143</v>
      </c>
      <c r="CC299" t="s" s="3">
        <v>144</v>
      </c>
      <c r="CD299" t="s" s="3">
        <v>145</v>
      </c>
      <c r="CE299" t="s" s="3">
        <v>146</v>
      </c>
      <c r="CF299" t="s" s="3">
        <v>53</v>
      </c>
      <c r="CG299" t="s" s="3">
        <v>67</v>
      </c>
    </row>
    <row r="300" ht="30.25" customHeight="1">
      <c r="BY300" t="s" s="6">
        <v>55</v>
      </c>
      <c r="BZ300" s="136"/>
      <c r="CA300" s="123"/>
      <c r="CB300" s="123"/>
      <c r="CC300" s="149"/>
      <c r="CD300" s="123"/>
      <c r="CE300" s="123"/>
      <c r="CF300" s="47" cm="1">
        <f t="array" ref="CF300">SUM(BZ300:CE300)</f>
        <v>0</v>
      </c>
      <c r="CG300" s="37"/>
    </row>
    <row r="301" ht="29.95" customHeight="1">
      <c r="BY301" t="s" s="11">
        <v>56</v>
      </c>
      <c r="BZ301" s="55"/>
      <c r="CA301" s="48"/>
      <c r="CB301" s="48"/>
      <c r="CC301" s="27"/>
      <c r="CD301" s="48"/>
      <c r="CE301" s="48"/>
      <c r="CF301" s="24" cm="1">
        <f t="array" ref="CF301">SUM(BZ301:CE301)</f>
        <v>0</v>
      </c>
      <c r="CG301" s="19"/>
    </row>
    <row r="302" ht="29.95" customHeight="1">
      <c r="BY302" t="s" s="11">
        <v>16</v>
      </c>
      <c r="BZ302" s="55"/>
      <c r="CA302" s="48"/>
      <c r="CB302" s="48"/>
      <c r="CC302" s="27"/>
      <c r="CD302" s="48"/>
      <c r="CE302" s="48"/>
      <c r="CF302" s="24" cm="1">
        <f t="array" ref="CF302">SUM(BZ302:CE302)</f>
        <v>0</v>
      </c>
      <c r="CG302" s="19"/>
    </row>
    <row r="303" ht="47.85" customHeight="1">
      <c r="BY303" t="s" s="11">
        <v>17</v>
      </c>
      <c r="BZ303" s="55"/>
      <c r="CA303" s="48"/>
      <c r="CB303" s="48"/>
      <c r="CC303" s="27"/>
      <c r="CD303" s="48"/>
      <c r="CE303" s="48"/>
      <c r="CF303" s="24" cm="1">
        <f t="array" ref="CF303">SUM(BZ303:CE303)</f>
        <v>0</v>
      </c>
      <c r="CG303" s="19"/>
    </row>
    <row r="304" ht="29.95" customHeight="1">
      <c r="BY304" t="s" s="11">
        <v>18</v>
      </c>
      <c r="BZ304" s="55"/>
      <c r="CA304" s="48"/>
      <c r="CB304" s="48"/>
      <c r="CC304" s="27"/>
      <c r="CD304" s="48"/>
      <c r="CE304" s="48"/>
      <c r="CF304" s="24" cm="1">
        <f t="array" ref="CF304">SUM(BZ304:CE304)</f>
        <v>0</v>
      </c>
      <c r="CG304" s="19"/>
    </row>
    <row r="305" ht="29.95" customHeight="1">
      <c r="BY305" t="s" s="11">
        <v>19</v>
      </c>
      <c r="BZ305" s="55"/>
      <c r="CA305" s="48"/>
      <c r="CB305" s="48"/>
      <c r="CC305" s="27"/>
      <c r="CD305" s="48"/>
      <c r="CE305" s="48"/>
      <c r="CF305" s="24" cm="1">
        <f t="array" ref="CF305">SUM(BZ305:CE305)</f>
        <v>0</v>
      </c>
      <c r="CG305" s="19"/>
    </row>
    <row r="306" ht="29.95" customHeight="1">
      <c r="BY306" t="s" s="11">
        <v>20</v>
      </c>
      <c r="BZ306" s="55"/>
      <c r="CA306" s="48"/>
      <c r="CB306" s="48"/>
      <c r="CC306" s="27"/>
      <c r="CD306" s="48"/>
      <c r="CE306" s="48"/>
      <c r="CF306" s="24" cm="1">
        <f t="array" ref="CF306">SUM(BZ306:CE306)</f>
        <v>0</v>
      </c>
      <c r="CG306" s="19"/>
    </row>
    <row r="307" ht="29.95" customHeight="1">
      <c r="BY307" t="s" s="11">
        <v>21</v>
      </c>
      <c r="BZ307" s="55"/>
      <c r="CA307" s="48"/>
      <c r="CB307" s="48"/>
      <c r="CC307" s="27"/>
      <c r="CD307" s="48"/>
      <c r="CE307" s="48"/>
      <c r="CF307" s="24" cm="1">
        <f t="array" ref="CF307">SUM(BZ307:CE307)</f>
        <v>0</v>
      </c>
      <c r="CG307" s="19"/>
    </row>
    <row r="308" ht="29.95" customHeight="1">
      <c r="BY308" t="s" s="11">
        <v>27</v>
      </c>
      <c r="BZ308" s="55"/>
      <c r="CA308" s="48"/>
      <c r="CB308" s="48"/>
      <c r="CC308" s="27"/>
      <c r="CD308" s="48"/>
      <c r="CE308" s="48"/>
      <c r="CF308" s="24" cm="1">
        <f t="array" ref="CF308">SUM(BZ308:CE308)</f>
        <v>0</v>
      </c>
      <c r="CG308" s="19"/>
    </row>
    <row r="309" ht="29.95" customHeight="1">
      <c r="BY309" t="s" s="11">
        <v>42</v>
      </c>
      <c r="BZ309" s="55"/>
      <c r="CA309" s="48"/>
      <c r="CB309" s="48"/>
      <c r="CC309" s="27"/>
      <c r="CD309" s="48"/>
      <c r="CE309" s="48"/>
      <c r="CF309" s="24" cm="1">
        <f t="array" ref="CF309">SUM(BZ309:CE309)</f>
        <v>0</v>
      </c>
      <c r="CG309" s="19"/>
    </row>
    <row r="310" ht="29.95" customHeight="1">
      <c r="BY310" t="s" s="11">
        <v>43</v>
      </c>
      <c r="BZ310" s="55"/>
      <c r="CA310" s="48"/>
      <c r="CB310" s="48"/>
      <c r="CC310" s="27"/>
      <c r="CD310" s="48"/>
      <c r="CE310" s="48"/>
      <c r="CF310" s="24" cm="1">
        <f t="array" ref="CF310">SUM(BZ310:CE310)</f>
        <v>0</v>
      </c>
      <c r="CG310" s="19"/>
    </row>
    <row r="311" ht="29.95" customHeight="1">
      <c r="BY311" t="s" s="11">
        <v>41</v>
      </c>
      <c r="BZ311" s="55"/>
      <c r="CA311" s="48"/>
      <c r="CB311" s="48"/>
      <c r="CC311" s="27"/>
      <c r="CD311" s="48"/>
      <c r="CE311" s="48"/>
      <c r="CF311" s="24" cm="1">
        <f t="array" ref="CF311">SUM(BZ311:CE311)</f>
        <v>0</v>
      </c>
      <c r="CG311" s="19"/>
    </row>
    <row r="312" ht="29.95" customHeight="1">
      <c r="BY312" t="s" s="11">
        <v>32</v>
      </c>
      <c r="BZ312" s="55"/>
      <c r="CA312" s="48"/>
      <c r="CB312" s="48"/>
      <c r="CC312" s="27"/>
      <c r="CD312" s="48"/>
      <c r="CE312" s="48"/>
      <c r="CF312" s="24" cm="1">
        <f t="array" ref="CF312">SUM(BZ312:CE312)</f>
        <v>0</v>
      </c>
      <c r="CG312" s="19"/>
    </row>
    <row r="313" ht="29.95" customHeight="1">
      <c r="BY313" t="s" s="32">
        <v>50</v>
      </c>
      <c r="BZ313" s="55"/>
      <c r="CA313" s="48"/>
      <c r="CB313" s="48"/>
      <c r="CC313" s="27"/>
      <c r="CD313" s="48"/>
      <c r="CE313" s="48"/>
      <c r="CF313" s="24" cm="1">
        <f t="array" ref="CF313">SUM(BZ313:CE313)</f>
        <v>0</v>
      </c>
      <c r="CG313" s="19"/>
    </row>
    <row r="314" ht="29.95" customHeight="1">
      <c r="BY314" t="s" s="32">
        <v>52</v>
      </c>
      <c r="BZ314" s="55"/>
      <c r="CA314" s="48"/>
      <c r="CB314" s="48"/>
      <c r="CC314" s="27"/>
      <c r="CD314" s="48"/>
      <c r="CE314" s="48"/>
      <c r="CF314" s="24" cm="1">
        <f t="array" ref="CF314">SUM(BZ314:CE314)</f>
        <v>0</v>
      </c>
      <c r="CG314" s="19"/>
    </row>
    <row r="315" ht="29.95" customHeight="1">
      <c r="BY315" t="s" s="32">
        <v>51</v>
      </c>
      <c r="BZ315" s="55"/>
      <c r="CA315" s="48"/>
      <c r="CB315" s="48"/>
      <c r="CC315" s="27"/>
      <c r="CD315" s="48"/>
      <c r="CE315" s="48"/>
      <c r="CF315" s="24" cm="1">
        <f t="array" ref="CF315">SUM(BZ315:CE315)</f>
        <v>0</v>
      </c>
      <c r="CG315" s="19"/>
    </row>
    <row r="316" ht="29.95" customHeight="1">
      <c r="BY316" t="s" s="95">
        <v>35</v>
      </c>
      <c r="BZ316" s="150"/>
      <c r="CA316" s="133">
        <v>1</v>
      </c>
      <c r="CB316" s="48"/>
      <c r="CC316" s="27"/>
      <c r="CD316" s="151">
        <v>1</v>
      </c>
      <c r="CE316" s="48"/>
      <c r="CF316" s="24" cm="1">
        <f t="array" ref="CF316">SUM(BZ316:CE316)</f>
        <v>2</v>
      </c>
      <c r="CG316" s="19"/>
    </row>
    <row r="317" ht="29.95" customHeight="1">
      <c r="BY317" t="s" s="95">
        <v>22</v>
      </c>
      <c r="BZ317" s="55"/>
      <c r="CA317" s="48"/>
      <c r="CB317" s="48"/>
      <c r="CC317" s="27"/>
      <c r="CD317" s="151">
        <v>1</v>
      </c>
      <c r="CE317" s="151">
        <v>1</v>
      </c>
      <c r="CF317" s="24" cm="1">
        <f t="array" ref="CF317">SUM(BZ317:CE317)</f>
        <v>2</v>
      </c>
      <c r="CG317" s="19"/>
    </row>
    <row r="318" ht="29.95" customHeight="1">
      <c r="BY318" t="s" s="95">
        <v>10</v>
      </c>
      <c r="BZ318" s="150"/>
      <c r="CA318" s="142"/>
      <c r="CB318" s="48"/>
      <c r="CC318" s="27"/>
      <c r="CD318" s="48"/>
      <c r="CE318" s="48"/>
      <c r="CF318" s="24" cm="1">
        <f t="array" ref="CF318">SUM(BZ318:CE318)</f>
        <v>0</v>
      </c>
      <c r="CG318" s="19"/>
    </row>
    <row r="319" ht="29.95" customHeight="1">
      <c r="BY319" t="s" s="95">
        <v>112</v>
      </c>
      <c r="BZ319" s="55"/>
      <c r="CA319" s="48"/>
      <c r="CB319" s="48"/>
      <c r="CC319" s="27"/>
      <c r="CD319" s="48"/>
      <c r="CE319" s="48"/>
      <c r="CF319" s="24" cm="1">
        <f t="array" ref="CF319">SUM(BZ319:CE319)</f>
        <v>0</v>
      </c>
      <c r="CG319" s="19"/>
    </row>
    <row r="320" ht="29.95" customHeight="1">
      <c r="BY320" t="s" s="95">
        <v>113</v>
      </c>
      <c r="BZ320" s="55"/>
      <c r="CA320" s="48"/>
      <c r="CB320" s="48"/>
      <c r="CC320" s="27"/>
      <c r="CD320" s="48"/>
      <c r="CE320" s="48"/>
      <c r="CF320" s="24" cm="1">
        <f t="array" ref="CF320">SUM(BZ320:CE320)</f>
        <v>0</v>
      </c>
      <c r="CG320" s="19"/>
    </row>
    <row r="321" ht="29.95" customHeight="1">
      <c r="BY321" t="s" s="44">
        <v>70</v>
      </c>
      <c r="BZ321" s="55"/>
      <c r="CA321" s="48"/>
      <c r="CB321" s="48"/>
      <c r="CC321" s="27"/>
      <c r="CD321" s="48"/>
      <c r="CE321" s="48"/>
      <c r="CF321" s="24" cm="1">
        <f t="array" ref="CF321">SUM(BZ321:CE321)</f>
        <v>0</v>
      </c>
      <c r="CG321" s="19"/>
    </row>
    <row r="322" ht="29.95" customHeight="1">
      <c r="BY322" t="s" s="44">
        <v>58</v>
      </c>
      <c r="BZ322" s="55"/>
      <c r="CA322" s="48"/>
      <c r="CB322" s="48"/>
      <c r="CC322" s="27"/>
      <c r="CD322" s="48"/>
      <c r="CE322" s="48"/>
      <c r="CF322" s="24" cm="1">
        <f t="array" ref="CF322">SUM(BZ322:CE322)</f>
        <v>0</v>
      </c>
      <c r="CG322" s="19"/>
    </row>
    <row r="323" ht="29.95" customHeight="1">
      <c r="BY323" t="s" s="44">
        <v>59</v>
      </c>
      <c r="BZ323" s="55"/>
      <c r="CA323" s="48"/>
      <c r="CB323" s="48"/>
      <c r="CC323" s="27"/>
      <c r="CD323" s="48"/>
      <c r="CE323" s="48"/>
      <c r="CF323" s="24" cm="1">
        <f t="array" ref="CF323">SUM(BZ323:CE323)</f>
        <v>0</v>
      </c>
      <c r="CG323" s="19"/>
    </row>
    <row r="324" ht="22.95" customHeight="1">
      <c r="BY324" t="s" s="44">
        <v>45</v>
      </c>
      <c r="BZ324" s="55"/>
      <c r="CA324" s="48"/>
      <c r="CB324" s="48"/>
      <c r="CC324" s="27"/>
      <c r="CD324" s="48"/>
      <c r="CE324" s="48"/>
      <c r="CF324" s="24" cm="1">
        <f t="array" ref="CF324">SUM(BZ324:CE324)</f>
        <v>0</v>
      </c>
      <c r="CG324" s="19"/>
    </row>
    <row r="325" ht="32.5" customHeight="1">
      <c r="BY325" t="s" s="44">
        <v>46</v>
      </c>
      <c r="BZ325" s="55"/>
      <c r="CA325" s="48"/>
      <c r="CB325" s="48"/>
      <c r="CC325" s="27"/>
      <c r="CD325" s="48"/>
      <c r="CE325" s="48"/>
      <c r="CF325" s="24" cm="1">
        <f t="array" ref="CF325">SUM(BZ325:CE325)</f>
        <v>0</v>
      </c>
      <c r="CG325" s="19"/>
    </row>
    <row r="326" ht="29.95" customHeight="1">
      <c r="BY326" t="s" s="44">
        <v>91</v>
      </c>
      <c r="BZ326" s="55"/>
      <c r="CA326" s="48"/>
      <c r="CB326" s="48"/>
      <c r="CC326" s="27"/>
      <c r="CD326" s="48"/>
      <c r="CE326" s="48"/>
      <c r="CF326" s="24" cm="1">
        <f t="array" ref="CF326">SUM(BZ326:CE326)</f>
        <v>0</v>
      </c>
      <c r="CG326" s="24">
        <v>1</v>
      </c>
    </row>
    <row r="327" ht="29.95" customHeight="1">
      <c r="BY327" t="s" s="44">
        <v>48</v>
      </c>
      <c r="BZ327" s="55"/>
      <c r="CA327" s="48"/>
      <c r="CB327" s="48"/>
      <c r="CC327" s="27"/>
      <c r="CD327" s="48"/>
      <c r="CE327" s="48"/>
      <c r="CF327" s="24" cm="1">
        <f t="array" ref="CF327">SUM(BZ327:CE327)</f>
        <v>0</v>
      </c>
      <c r="CG327" s="24">
        <v>1</v>
      </c>
    </row>
    <row r="328" ht="29.95" customHeight="1">
      <c r="BY328" t="s" s="44">
        <v>49</v>
      </c>
      <c r="BZ328" s="55"/>
      <c r="CA328" s="48"/>
      <c r="CB328" s="48"/>
      <c r="CC328" s="27"/>
      <c r="CD328" s="48"/>
      <c r="CE328" s="48"/>
      <c r="CF328" s="24" cm="1">
        <f t="array" ref="CF328">SUM(BZ328:CE328)</f>
        <v>0</v>
      </c>
      <c r="CG328" s="19"/>
    </row>
    <row r="329" ht="29.95" customHeight="1">
      <c r="BY329" t="s" s="44">
        <v>101</v>
      </c>
      <c r="BZ329" s="55"/>
      <c r="CA329" s="48"/>
      <c r="CB329" s="48"/>
      <c r="CC329" s="27"/>
      <c r="CD329" s="48"/>
      <c r="CE329" s="48"/>
      <c r="CF329" s="24" cm="1">
        <f t="array" ref="CF329">SUM(BZ329:CE329)</f>
        <v>0</v>
      </c>
      <c r="CG329" s="19"/>
    </row>
    <row r="330" ht="29.95" customHeight="1">
      <c r="BY330" t="s" s="32">
        <v>115</v>
      </c>
      <c r="BZ330" s="55"/>
      <c r="CA330" s="48"/>
      <c r="CB330" s="48"/>
      <c r="CC330" s="27"/>
      <c r="CD330" s="48"/>
      <c r="CE330" s="48"/>
      <c r="CF330" s="24" cm="1">
        <f t="array" ref="CF330">SUM(BZ330:CE330)</f>
        <v>0</v>
      </c>
      <c r="CG330" s="19"/>
    </row>
    <row r="331" ht="29.95" customHeight="1">
      <c r="BY331" t="s" s="32">
        <v>109</v>
      </c>
      <c r="BZ331" s="131">
        <v>1</v>
      </c>
      <c r="CA331" s="48"/>
      <c r="CB331" s="48"/>
      <c r="CC331" s="27"/>
      <c r="CD331" s="48"/>
      <c r="CE331" s="48"/>
      <c r="CF331" s="24" cm="1">
        <f t="array" ref="CF331">SUM(BZ331:CE331)</f>
        <v>1</v>
      </c>
      <c r="CG331" s="19"/>
    </row>
    <row r="332" ht="29.95" customHeight="1">
      <c r="BY332" t="s" s="32">
        <v>102</v>
      </c>
      <c r="BZ332" s="55"/>
      <c r="CA332" s="48"/>
      <c r="CB332" s="48"/>
      <c r="CC332" s="27"/>
      <c r="CD332" s="48"/>
      <c r="CE332" s="48"/>
      <c r="CF332" s="24" cm="1">
        <f t="array" ref="CF332">SUM(BZ332:CE332)</f>
        <v>0</v>
      </c>
      <c r="CG332" s="19"/>
    </row>
    <row r="333" ht="29.95" customHeight="1">
      <c r="BY333" t="s" s="49">
        <v>30</v>
      </c>
      <c r="BZ333" s="12" cm="1">
        <f t="array" ref="BZ333">SUM(BZ300:BZ332)</f>
        <v>1</v>
      </c>
      <c r="CA333" s="24" cm="1">
        <f t="array" ref="CA333">SUM(CA300:CA332)</f>
        <v>1</v>
      </c>
      <c r="CB333" s="24" cm="1">
        <f t="array" ref="CB333">SUM(CB300:CB332)</f>
        <v>0</v>
      </c>
      <c r="CC333" s="24" cm="1">
        <f t="array" ref="CC333">SUM(CC300)</f>
        <v>0</v>
      </c>
      <c r="CD333" s="24" cm="1">
        <f t="array" ref="CD333">SUM(CD300:CD332)</f>
        <v>2</v>
      </c>
      <c r="CE333" s="24" cm="1">
        <f t="array" ref="CE333">SUM(CE300:CE332)</f>
        <v>1</v>
      </c>
      <c r="CF333" s="24" cm="1">
        <f t="array" ref="CF333">SUM(CF300:CF332)</f>
        <v>5</v>
      </c>
      <c r="CG333" s="19"/>
    </row>
    <row r="335" ht="27.65" customHeight="1">
      <c r="CH335" t="s" s="2">
        <v>103</v>
      </c>
      <c r="CI335" s="2"/>
      <c r="CJ335" s="2"/>
      <c r="CK335" s="2"/>
      <c r="CL335" s="2"/>
      <c r="CM335" s="2"/>
      <c r="CN335" s="2"/>
      <c r="CO335" s="2"/>
      <c r="CP335" s="2"/>
      <c r="CQ335" s="2"/>
    </row>
    <row r="336" ht="43.25" customHeight="1">
      <c r="CH336" s="35"/>
      <c r="CI336" t="s" s="3">
        <v>141</v>
      </c>
      <c r="CJ336" t="s" s="3">
        <v>142</v>
      </c>
      <c r="CK336" t="s" s="3">
        <v>143</v>
      </c>
      <c r="CL336" t="s" s="3">
        <v>144</v>
      </c>
      <c r="CM336" t="s" s="3">
        <v>145</v>
      </c>
      <c r="CN336" t="s" s="3">
        <v>146</v>
      </c>
      <c r="CO336" t="s" s="3">
        <v>67</v>
      </c>
      <c r="CP336" t="s" s="3">
        <v>68</v>
      </c>
      <c r="CQ336" t="s" s="3">
        <v>69</v>
      </c>
    </row>
    <row r="337" ht="27.2" customHeight="1">
      <c r="CH337" t="s" s="6">
        <v>55</v>
      </c>
      <c r="CI337" s="136"/>
      <c r="CJ337" s="123"/>
      <c r="CK337" s="123"/>
      <c r="CL337" s="149"/>
      <c r="CM337" s="123"/>
      <c r="CN337" s="123"/>
      <c r="CO337" s="123"/>
      <c r="CP337" s="123"/>
      <c r="CQ337" s="123"/>
    </row>
    <row r="338" ht="26.9" customHeight="1">
      <c r="CH338" t="s" s="11">
        <v>56</v>
      </c>
      <c r="CI338" s="55"/>
      <c r="CJ338" s="48"/>
      <c r="CK338" s="48"/>
      <c r="CL338" s="27"/>
      <c r="CM338" s="48"/>
      <c r="CN338" s="48"/>
      <c r="CO338" s="48"/>
      <c r="CP338" s="48"/>
      <c r="CQ338" s="48"/>
    </row>
    <row r="339" ht="26.9" customHeight="1">
      <c r="CH339" t="s" s="11">
        <v>16</v>
      </c>
      <c r="CI339" s="55"/>
      <c r="CJ339" s="48"/>
      <c r="CK339" s="48"/>
      <c r="CL339" s="27"/>
      <c r="CM339" s="48"/>
      <c r="CN339" s="48"/>
      <c r="CO339" s="48"/>
      <c r="CP339" s="48"/>
      <c r="CQ339" s="48"/>
    </row>
    <row r="340" ht="43" customHeight="1">
      <c r="CH340" t="s" s="11">
        <v>17</v>
      </c>
      <c r="CI340" s="55"/>
      <c r="CJ340" s="48"/>
      <c r="CK340" s="48"/>
      <c r="CL340" s="27"/>
      <c r="CM340" s="48"/>
      <c r="CN340" s="48"/>
      <c r="CO340" s="48"/>
      <c r="CP340" s="48"/>
      <c r="CQ340" s="48"/>
    </row>
    <row r="341" ht="26.9" customHeight="1">
      <c r="CH341" t="s" s="11">
        <v>18</v>
      </c>
      <c r="CI341" s="55"/>
      <c r="CJ341" s="48"/>
      <c r="CK341" s="48"/>
      <c r="CL341" s="27"/>
      <c r="CM341" s="48"/>
      <c r="CN341" s="48"/>
      <c r="CO341" s="48"/>
      <c r="CP341" s="48"/>
      <c r="CQ341" s="48"/>
    </row>
    <row r="342" ht="26.9" customHeight="1">
      <c r="CH342" t="s" s="11">
        <v>19</v>
      </c>
      <c r="CI342" s="55"/>
      <c r="CJ342" s="48"/>
      <c r="CK342" s="48"/>
      <c r="CL342" s="27"/>
      <c r="CM342" s="48"/>
      <c r="CN342" s="48"/>
      <c r="CO342" s="48"/>
      <c r="CP342" s="48"/>
      <c r="CQ342" s="48"/>
    </row>
    <row r="343" ht="26.9" customHeight="1">
      <c r="CH343" t="s" s="11">
        <v>20</v>
      </c>
      <c r="CI343" s="55"/>
      <c r="CJ343" s="48"/>
      <c r="CK343" s="48"/>
      <c r="CL343" s="27"/>
      <c r="CM343" s="48"/>
      <c r="CN343" s="48"/>
      <c r="CO343" s="48"/>
      <c r="CP343" s="48"/>
      <c r="CQ343" s="48"/>
    </row>
    <row r="344" ht="26.9" customHeight="1">
      <c r="CH344" t="s" s="11">
        <v>21</v>
      </c>
      <c r="CI344" s="55"/>
      <c r="CJ344" s="48"/>
      <c r="CK344" s="48"/>
      <c r="CL344" s="27"/>
      <c r="CM344" s="48"/>
      <c r="CN344" s="48"/>
      <c r="CO344" s="48"/>
      <c r="CP344" s="48"/>
      <c r="CQ344" s="48"/>
    </row>
    <row r="345" ht="26.9" customHeight="1">
      <c r="CH345" t="s" s="11">
        <v>27</v>
      </c>
      <c r="CI345" s="55"/>
      <c r="CJ345" s="48"/>
      <c r="CK345" s="48"/>
      <c r="CL345" s="27"/>
      <c r="CM345" s="48"/>
      <c r="CN345" s="48"/>
      <c r="CO345" s="48"/>
      <c r="CP345" s="48"/>
      <c r="CQ345" s="48"/>
    </row>
    <row r="346" ht="26.9" customHeight="1">
      <c r="CH346" t="s" s="11">
        <v>42</v>
      </c>
      <c r="CI346" s="55"/>
      <c r="CJ346" s="48"/>
      <c r="CK346" s="48"/>
      <c r="CL346" s="27"/>
      <c r="CM346" s="48"/>
      <c r="CN346" s="48"/>
      <c r="CO346" s="48"/>
      <c r="CP346" s="48"/>
      <c r="CQ346" s="48"/>
    </row>
    <row r="347" ht="26.9" customHeight="1">
      <c r="CH347" t="s" s="11">
        <v>43</v>
      </c>
      <c r="CI347" s="55"/>
      <c r="CJ347" s="48"/>
      <c r="CK347" s="48"/>
      <c r="CL347" s="27"/>
      <c r="CM347" s="48"/>
      <c r="CN347" s="48"/>
      <c r="CO347" s="48"/>
      <c r="CP347" s="48"/>
      <c r="CQ347" s="48"/>
    </row>
    <row r="348" ht="26.9" customHeight="1">
      <c r="CH348" t="s" s="11">
        <v>41</v>
      </c>
      <c r="CI348" s="55"/>
      <c r="CJ348" s="48"/>
      <c r="CK348" s="48"/>
      <c r="CL348" s="27"/>
      <c r="CM348" s="48"/>
      <c r="CN348" s="48"/>
      <c r="CO348" s="48"/>
      <c r="CP348" s="48"/>
      <c r="CQ348" s="48"/>
    </row>
    <row r="349" ht="26.9" customHeight="1">
      <c r="CH349" t="s" s="11">
        <v>32</v>
      </c>
      <c r="CI349" s="55"/>
      <c r="CJ349" s="48"/>
      <c r="CK349" s="48"/>
      <c r="CL349" s="27"/>
      <c r="CM349" s="48"/>
      <c r="CN349" s="48"/>
      <c r="CO349" s="48"/>
      <c r="CP349" s="48"/>
      <c r="CQ349" s="48"/>
    </row>
    <row r="350" ht="26.9" customHeight="1">
      <c r="CH350" t="s" s="64">
        <v>50</v>
      </c>
      <c r="CI350" s="55"/>
      <c r="CJ350" s="48"/>
      <c r="CK350" s="48"/>
      <c r="CL350" s="27"/>
      <c r="CM350" s="48"/>
      <c r="CN350" s="48"/>
      <c r="CO350" s="48"/>
      <c r="CP350" s="48"/>
      <c r="CQ350" s="48"/>
    </row>
    <row r="351" ht="26.9" customHeight="1">
      <c r="CH351" t="s" s="64">
        <v>52</v>
      </c>
      <c r="CI351" s="55"/>
      <c r="CJ351" s="48"/>
      <c r="CK351" s="48"/>
      <c r="CL351" s="27"/>
      <c r="CM351" s="48"/>
      <c r="CN351" s="48"/>
      <c r="CO351" s="48"/>
      <c r="CP351" s="48"/>
      <c r="CQ351" s="48"/>
    </row>
    <row r="352" ht="44.45" customHeight="1">
      <c r="CH352" t="s" s="64">
        <v>51</v>
      </c>
      <c r="CI352" s="55"/>
      <c r="CJ352" s="48"/>
      <c r="CK352" s="48"/>
      <c r="CL352" s="27"/>
      <c r="CM352" s="48"/>
      <c r="CN352" s="48"/>
      <c r="CO352" s="48"/>
      <c r="CP352" s="48"/>
      <c r="CQ352" s="48"/>
    </row>
    <row r="353" ht="20.05" customHeight="1">
      <c r="CH353" t="s" s="95">
        <v>35</v>
      </c>
      <c r="CI353" s="150"/>
      <c r="CJ353" s="142"/>
      <c r="CK353" s="48"/>
      <c r="CL353" s="27"/>
      <c r="CM353" s="153"/>
      <c r="CN353" s="48"/>
      <c r="CO353" s="48"/>
      <c r="CP353" s="48"/>
      <c r="CQ353" s="48"/>
    </row>
    <row r="354" ht="26.9" customHeight="1">
      <c r="CH354" t="s" s="95">
        <v>22</v>
      </c>
      <c r="CI354" s="55"/>
      <c r="CJ354" s="48"/>
      <c r="CK354" s="48"/>
      <c r="CL354" s="27"/>
      <c r="CM354" s="153"/>
      <c r="CN354" s="48"/>
      <c r="CO354" s="48"/>
      <c r="CP354" s="48"/>
      <c r="CQ354" s="48"/>
    </row>
    <row r="355" ht="26.9" customHeight="1">
      <c r="CH355" t="s" s="95">
        <v>10</v>
      </c>
      <c r="CI355" s="150"/>
      <c r="CJ355" s="142"/>
      <c r="CK355" s="48"/>
      <c r="CL355" s="27"/>
      <c r="CM355" s="48"/>
      <c r="CN355" s="48"/>
      <c r="CO355" s="48"/>
      <c r="CP355" s="48"/>
      <c r="CQ355" s="48"/>
    </row>
    <row r="356" ht="26.9" customHeight="1">
      <c r="CH356" t="s" s="95">
        <v>112</v>
      </c>
      <c r="CI356" s="55"/>
      <c r="CJ356" s="48"/>
      <c r="CK356" s="48"/>
      <c r="CL356" s="27"/>
      <c r="CM356" s="48"/>
      <c r="CN356" s="48"/>
      <c r="CO356" s="48"/>
      <c r="CP356" s="48"/>
      <c r="CQ356" s="48"/>
    </row>
    <row r="357" ht="26.9" customHeight="1">
      <c r="CH357" t="s" s="95">
        <v>113</v>
      </c>
      <c r="CI357" s="55"/>
      <c r="CJ357" s="48"/>
      <c r="CK357" s="48"/>
      <c r="CL357" s="27"/>
      <c r="CM357" s="48"/>
      <c r="CN357" s="48"/>
      <c r="CO357" s="48"/>
      <c r="CP357" s="48"/>
      <c r="CQ357" s="48"/>
    </row>
    <row r="358" ht="26.9" customHeight="1">
      <c r="CH358" t="s" s="44">
        <v>70</v>
      </c>
      <c r="CI358" s="55"/>
      <c r="CJ358" s="48"/>
      <c r="CK358" s="48"/>
      <c r="CL358" s="27"/>
      <c r="CM358" s="48"/>
      <c r="CN358" s="48"/>
      <c r="CO358" s="48"/>
      <c r="CP358" s="48"/>
      <c r="CQ358" s="48"/>
    </row>
    <row r="359" ht="39.6" customHeight="1">
      <c r="CH359" t="s" s="44">
        <v>58</v>
      </c>
      <c r="CI359" s="55"/>
      <c r="CJ359" s="48"/>
      <c r="CK359" s="48"/>
      <c r="CL359" s="27"/>
      <c r="CM359" s="48"/>
      <c r="CN359" s="48"/>
      <c r="CO359" s="48"/>
      <c r="CP359" s="48"/>
      <c r="CQ359" s="48"/>
    </row>
    <row r="360" ht="43" customHeight="1">
      <c r="CH360" t="s" s="44">
        <v>59</v>
      </c>
      <c r="CI360" s="55"/>
      <c r="CJ360" s="48"/>
      <c r="CK360" s="48"/>
      <c r="CL360" s="27"/>
      <c r="CM360" s="48"/>
      <c r="CN360" s="48"/>
      <c r="CO360" s="48"/>
      <c r="CP360" s="48"/>
      <c r="CQ360" s="48"/>
    </row>
    <row r="361" ht="26.9" customHeight="1">
      <c r="CH361" t="s" s="44">
        <v>45</v>
      </c>
      <c r="CI361" s="55"/>
      <c r="CJ361" s="48"/>
      <c r="CK361" s="48"/>
      <c r="CL361" s="27"/>
      <c r="CM361" s="48"/>
      <c r="CN361" s="48"/>
      <c r="CO361" s="48"/>
      <c r="CP361" s="48"/>
      <c r="CQ361" s="48"/>
    </row>
    <row r="362" ht="41.4" customHeight="1">
      <c r="CH362" t="s" s="44">
        <v>46</v>
      </c>
      <c r="CI362" s="55"/>
      <c r="CJ362" s="48"/>
      <c r="CK362" s="48"/>
      <c r="CL362" s="27"/>
      <c r="CM362" s="48"/>
      <c r="CN362" s="48"/>
      <c r="CO362" s="48"/>
      <c r="CP362" s="48"/>
      <c r="CQ362" s="48"/>
    </row>
    <row r="363" ht="26.9" customHeight="1">
      <c r="CH363" t="s" s="64">
        <v>91</v>
      </c>
      <c r="CI363" s="55"/>
      <c r="CJ363" s="48"/>
      <c r="CK363" s="48"/>
      <c r="CL363" s="27"/>
      <c r="CM363" s="48"/>
      <c r="CN363" s="48"/>
      <c r="CO363" s="48"/>
      <c r="CP363" s="48"/>
      <c r="CQ363" s="48"/>
    </row>
    <row r="364" ht="26.9" customHeight="1">
      <c r="CH364" t="s" s="21">
        <v>48</v>
      </c>
      <c r="CI364" s="55"/>
      <c r="CJ364" s="48"/>
      <c r="CK364" s="48"/>
      <c r="CL364" s="27"/>
      <c r="CM364" s="48"/>
      <c r="CN364" s="48"/>
      <c r="CO364" s="48"/>
      <c r="CP364" s="48"/>
      <c r="CQ364" s="48"/>
    </row>
    <row r="365" ht="26.9" customHeight="1">
      <c r="CH365" t="s" s="21">
        <v>49</v>
      </c>
      <c r="CI365" s="55"/>
      <c r="CJ365" s="48"/>
      <c r="CK365" s="48"/>
      <c r="CL365" s="27"/>
      <c r="CM365" s="48"/>
      <c r="CN365" s="48"/>
      <c r="CO365" s="48"/>
      <c r="CP365" s="48"/>
      <c r="CQ365" s="48"/>
    </row>
    <row r="366" ht="51.65" customHeight="1">
      <c r="CH366" t="s" s="44">
        <v>101</v>
      </c>
      <c r="CI366" s="55"/>
      <c r="CJ366" s="48"/>
      <c r="CK366" s="48"/>
      <c r="CL366" s="27"/>
      <c r="CM366" s="48"/>
      <c r="CN366" s="48"/>
      <c r="CO366" s="48"/>
      <c r="CP366" s="48"/>
      <c r="CQ366" s="48"/>
    </row>
    <row r="367" ht="33.8" customHeight="1">
      <c r="CH367" t="s" s="32">
        <v>115</v>
      </c>
      <c r="CI367" s="55"/>
      <c r="CJ367" s="48"/>
      <c r="CK367" s="48"/>
      <c r="CL367" s="27"/>
      <c r="CM367" s="48"/>
      <c r="CN367" s="48"/>
      <c r="CO367" s="48"/>
      <c r="CP367" s="48"/>
      <c r="CQ367" s="48"/>
    </row>
    <row r="368" ht="20.05" customHeight="1">
      <c r="CH368" t="s" s="32">
        <v>109</v>
      </c>
      <c r="CI368" s="124"/>
      <c r="CJ368" s="48"/>
      <c r="CK368" s="48"/>
      <c r="CL368" s="27"/>
      <c r="CM368" s="48"/>
      <c r="CN368" s="48"/>
      <c r="CO368" s="48"/>
      <c r="CP368" s="48"/>
      <c r="CQ368" s="48"/>
    </row>
    <row r="369" ht="26.75" customHeight="1">
      <c r="CH369" t="s" s="32">
        <v>102</v>
      </c>
      <c r="CI369" s="55"/>
      <c r="CJ369" s="48"/>
      <c r="CK369" s="48"/>
      <c r="CL369" s="27"/>
      <c r="CM369" s="48"/>
      <c r="CN369" s="48"/>
      <c r="CO369" s="48"/>
      <c r="CP369" s="48"/>
      <c r="CQ369" s="48"/>
    </row>
    <row r="370" ht="20.5" customHeight="1">
      <c r="CH370" t="s" s="49">
        <v>30</v>
      </c>
      <c r="CI370" s="12" cm="1">
        <f t="array" ref="CI370">SUM(CI337:CI369)</f>
        <v>0</v>
      </c>
      <c r="CJ370" s="24" cm="1">
        <f t="array" ref="CJ370">SUM(CJ337:CJ369)</f>
        <v>0</v>
      </c>
      <c r="CK370" s="24" cm="1">
        <f t="array" ref="CK370">SUM(CK337:CK369)</f>
        <v>0</v>
      </c>
      <c r="CL370" s="24" cm="1">
        <f t="array" ref="CL370">SUM(CL337)</f>
        <v>0</v>
      </c>
      <c r="CM370" s="24" cm="1">
        <f t="array" ref="CM370">SUM(CM337:CM369)</f>
        <v>0</v>
      </c>
      <c r="CN370" s="24" cm="1">
        <f t="array" ref="CN370">SUM(CN337:CN369)</f>
        <v>0</v>
      </c>
      <c r="CO370" s="24" cm="1">
        <f t="array" ref="CO370">SUM(CO337:CO369)</f>
        <v>0</v>
      </c>
      <c r="CP370" s="24" cm="1">
        <f t="array" ref="CP370">SUM(CP337:CP369)</f>
        <v>0</v>
      </c>
      <c r="CQ370" s="24" cm="1">
        <f t="array" ref="CQ370">SUM(CQ337:CQ369)</f>
        <v>0</v>
      </c>
    </row>
    <row r="372" ht="48.15" customHeight="1">
      <c r="CR372" s="35"/>
      <c r="CS372" t="s" s="3">
        <v>147</v>
      </c>
      <c r="CT372" t="s" s="3">
        <v>148</v>
      </c>
      <c r="CU372" t="s" s="3">
        <v>149</v>
      </c>
      <c r="CV372" t="s" s="3">
        <v>25</v>
      </c>
      <c r="CW372" t="s" s="3">
        <v>25</v>
      </c>
      <c r="CX372" t="s" s="3">
        <v>25</v>
      </c>
      <c r="CY372" t="s" s="3">
        <v>53</v>
      </c>
      <c r="CZ372" t="s" s="3">
        <v>67</v>
      </c>
    </row>
    <row r="373" ht="30.25" customHeight="1">
      <c r="CR373" t="s" s="6">
        <v>55</v>
      </c>
      <c r="CS373" s="136"/>
      <c r="CT373" s="123"/>
      <c r="CU373" s="123"/>
      <c r="CV373" s="123"/>
      <c r="CW373" s="123"/>
      <c r="CX373" s="123"/>
      <c r="CY373" s="47" cm="1">
        <f t="array" ref="CY373">SUM(CS373:CX373)</f>
        <v>0</v>
      </c>
      <c r="CZ373" s="37"/>
    </row>
    <row r="374" ht="29.95" customHeight="1">
      <c r="CR374" t="s" s="11">
        <v>56</v>
      </c>
      <c r="CS374" s="55"/>
      <c r="CT374" s="48"/>
      <c r="CU374" s="48"/>
      <c r="CV374" s="48"/>
      <c r="CW374" s="48"/>
      <c r="CX374" s="48"/>
      <c r="CY374" s="24" cm="1">
        <f t="array" ref="CY374">SUM(CS374:CX374)</f>
        <v>0</v>
      </c>
      <c r="CZ374" s="19"/>
    </row>
    <row r="375" ht="29.95" customHeight="1">
      <c r="CR375" t="s" s="11">
        <v>16</v>
      </c>
      <c r="CS375" s="55"/>
      <c r="CT375" s="48"/>
      <c r="CU375" s="48"/>
      <c r="CV375" s="48"/>
      <c r="CW375" s="48"/>
      <c r="CX375" s="48"/>
      <c r="CY375" s="24" cm="1">
        <f t="array" ref="CY375">SUM(CS375:CX375)</f>
        <v>0</v>
      </c>
      <c r="CZ375" s="19"/>
    </row>
    <row r="376" ht="47.85" customHeight="1">
      <c r="CR376" t="s" s="11">
        <v>17</v>
      </c>
      <c r="CS376" s="55"/>
      <c r="CT376" s="48"/>
      <c r="CU376" s="48"/>
      <c r="CV376" s="48"/>
      <c r="CW376" s="48"/>
      <c r="CX376" s="48"/>
      <c r="CY376" s="24" cm="1">
        <f t="array" ref="CY376">SUM(CS376:CX376)</f>
        <v>0</v>
      </c>
      <c r="CZ376" s="19"/>
    </row>
    <row r="377" ht="29.95" customHeight="1">
      <c r="CR377" t="s" s="11">
        <v>18</v>
      </c>
      <c r="CS377" s="57">
        <v>1</v>
      </c>
      <c r="CT377" s="48"/>
      <c r="CU377" s="48"/>
      <c r="CV377" s="48"/>
      <c r="CW377" s="48"/>
      <c r="CX377" s="48"/>
      <c r="CY377" s="24" cm="1">
        <f t="array" ref="CY377">SUM(CS377:CX377)</f>
        <v>1</v>
      </c>
      <c r="CZ377" s="19"/>
    </row>
    <row r="378" ht="29.95" customHeight="1">
      <c r="CR378" t="s" s="11">
        <v>19</v>
      </c>
      <c r="CS378" s="55"/>
      <c r="CT378" s="48"/>
      <c r="CU378" s="48"/>
      <c r="CV378" s="48"/>
      <c r="CW378" s="48"/>
      <c r="CX378" s="48"/>
      <c r="CY378" s="24" cm="1">
        <f t="array" ref="CY378">SUM(CS378:CX378)</f>
        <v>0</v>
      </c>
      <c r="CZ378" s="19"/>
    </row>
    <row r="379" ht="29.95" customHeight="1">
      <c r="CR379" t="s" s="11">
        <v>20</v>
      </c>
      <c r="CS379" s="55"/>
      <c r="CT379" s="48"/>
      <c r="CU379" s="48"/>
      <c r="CV379" s="48"/>
      <c r="CW379" s="48"/>
      <c r="CX379" s="48"/>
      <c r="CY379" s="24" cm="1">
        <f t="array" ref="CY379">SUM(CS379:CX379)</f>
        <v>0</v>
      </c>
      <c r="CZ379" s="19"/>
    </row>
    <row r="380" ht="29.95" customHeight="1">
      <c r="CR380" t="s" s="11">
        <v>21</v>
      </c>
      <c r="CS380" s="55"/>
      <c r="CT380" s="48"/>
      <c r="CU380" s="48"/>
      <c r="CV380" s="48"/>
      <c r="CW380" s="48"/>
      <c r="CX380" s="48"/>
      <c r="CY380" s="24" cm="1">
        <f t="array" ref="CY380">SUM(CS380:CX380)</f>
        <v>0</v>
      </c>
      <c r="CZ380" s="19"/>
    </row>
    <row r="381" ht="29.95" customHeight="1">
      <c r="CR381" t="s" s="11">
        <v>27</v>
      </c>
      <c r="CS381" s="57">
        <v>1</v>
      </c>
      <c r="CT381" s="58">
        <v>1</v>
      </c>
      <c r="CU381" s="48"/>
      <c r="CV381" s="48"/>
      <c r="CW381" s="48"/>
      <c r="CX381" s="48"/>
      <c r="CY381" s="24" cm="1">
        <f t="array" ref="CY381">SUM(CS381:CX381)</f>
        <v>2</v>
      </c>
      <c r="CZ381" s="19"/>
    </row>
    <row r="382" ht="29.95" customHeight="1">
      <c r="CR382" t="s" s="11">
        <v>42</v>
      </c>
      <c r="CS382" s="55"/>
      <c r="CT382" s="48"/>
      <c r="CU382" s="48"/>
      <c r="CV382" s="48"/>
      <c r="CW382" s="48"/>
      <c r="CX382" s="48"/>
      <c r="CY382" s="24" cm="1">
        <f t="array" ref="CY382">SUM(CS382:CX382)</f>
        <v>0</v>
      </c>
      <c r="CZ382" s="19"/>
    </row>
    <row r="383" ht="29.95" customHeight="1">
      <c r="CR383" t="s" s="11">
        <v>43</v>
      </c>
      <c r="CS383" s="55"/>
      <c r="CT383" s="48"/>
      <c r="CU383" s="48"/>
      <c r="CV383" s="48"/>
      <c r="CW383" s="48"/>
      <c r="CX383" s="48"/>
      <c r="CY383" s="24" cm="1">
        <f t="array" ref="CY383">SUM(CS383:CX383)</f>
        <v>0</v>
      </c>
      <c r="CZ383" s="19"/>
    </row>
    <row r="384" ht="29.95" customHeight="1">
      <c r="CR384" t="s" s="11">
        <v>41</v>
      </c>
      <c r="CS384" s="55"/>
      <c r="CT384" s="48"/>
      <c r="CU384" s="48"/>
      <c r="CV384" s="48"/>
      <c r="CW384" s="48"/>
      <c r="CX384" s="48"/>
      <c r="CY384" s="24" cm="1">
        <f t="array" ref="CY384">SUM(CS384:CX384)</f>
        <v>0</v>
      </c>
      <c r="CZ384" s="19"/>
    </row>
    <row r="385" ht="29.95" customHeight="1">
      <c r="CR385" t="s" s="11">
        <v>32</v>
      </c>
      <c r="CS385" s="55"/>
      <c r="CT385" s="48"/>
      <c r="CU385" s="48"/>
      <c r="CV385" s="48"/>
      <c r="CW385" s="48"/>
      <c r="CX385" s="48"/>
      <c r="CY385" s="24" cm="1">
        <f t="array" ref="CY385">SUM(CS385:CX385)</f>
        <v>0</v>
      </c>
      <c r="CZ385" s="19"/>
    </row>
    <row r="386" ht="29.95" customHeight="1">
      <c r="CR386" t="s" s="32">
        <v>50</v>
      </c>
      <c r="CS386" s="55"/>
      <c r="CT386" s="48"/>
      <c r="CU386" s="48"/>
      <c r="CV386" s="48"/>
      <c r="CW386" s="48"/>
      <c r="CX386" s="48"/>
      <c r="CY386" s="24" cm="1">
        <f t="array" ref="CY386">SUM(CS386:CX386)</f>
        <v>0</v>
      </c>
      <c r="CZ386" s="19"/>
    </row>
    <row r="387" ht="29.95" customHeight="1">
      <c r="CR387" t="s" s="32">
        <v>52</v>
      </c>
      <c r="CS387" s="55"/>
      <c r="CT387" s="48"/>
      <c r="CU387" s="48"/>
      <c r="CV387" s="48"/>
      <c r="CW387" s="48"/>
      <c r="CX387" s="48"/>
      <c r="CY387" s="24" cm="1">
        <f t="array" ref="CY387">SUM(CS387:CX387)</f>
        <v>0</v>
      </c>
      <c r="CZ387" s="19"/>
    </row>
    <row r="388" ht="29.95" customHeight="1">
      <c r="CR388" t="s" s="32">
        <v>51</v>
      </c>
      <c r="CS388" s="55"/>
      <c r="CT388" s="48"/>
      <c r="CU388" s="48"/>
      <c r="CV388" s="48"/>
      <c r="CW388" s="48"/>
      <c r="CX388" s="48"/>
      <c r="CY388" s="24" cm="1">
        <f t="array" ref="CY388">SUM(CS388:CX388)</f>
        <v>0</v>
      </c>
      <c r="CZ388" s="19"/>
    </row>
    <row r="389" ht="29.95" customHeight="1">
      <c r="CR389" t="s" s="95">
        <v>35</v>
      </c>
      <c r="CS389" s="55"/>
      <c r="CT389" s="151">
        <v>1</v>
      </c>
      <c r="CU389" s="48"/>
      <c r="CV389" s="48"/>
      <c r="CW389" s="48"/>
      <c r="CX389" s="48"/>
      <c r="CY389" s="24" cm="1">
        <f t="array" ref="CY389">SUM(CS389:CX389)</f>
        <v>1</v>
      </c>
      <c r="CZ389" s="19"/>
    </row>
    <row r="390" ht="29.95" customHeight="1">
      <c r="CR390" t="s" s="95">
        <v>22</v>
      </c>
      <c r="CS390" s="155">
        <v>1</v>
      </c>
      <c r="CT390" s="48"/>
      <c r="CU390" s="48"/>
      <c r="CV390" s="48"/>
      <c r="CW390" s="48"/>
      <c r="CX390" s="48"/>
      <c r="CY390" s="24" cm="1">
        <f t="array" ref="CY390">SUM(CS390:CX390)</f>
        <v>1</v>
      </c>
      <c r="CZ390" s="19"/>
    </row>
    <row r="391" ht="29.95" customHeight="1">
      <c r="CR391" t="s" s="95">
        <v>10</v>
      </c>
      <c r="CS391" s="55"/>
      <c r="CT391" s="153"/>
      <c r="CU391" s="48"/>
      <c r="CV391" s="48"/>
      <c r="CW391" s="48"/>
      <c r="CX391" s="48"/>
      <c r="CY391" s="24" cm="1">
        <f t="array" ref="CY391">SUM(CS391:CX391)</f>
        <v>0</v>
      </c>
      <c r="CZ391" s="19"/>
    </row>
    <row r="392" ht="29.95" customHeight="1">
      <c r="CR392" t="s" s="95">
        <v>112</v>
      </c>
      <c r="CS392" s="55"/>
      <c r="CT392" s="48"/>
      <c r="CU392" s="48"/>
      <c r="CV392" s="48"/>
      <c r="CW392" s="48"/>
      <c r="CX392" s="48"/>
      <c r="CY392" s="24" cm="1">
        <f t="array" ref="CY392">SUM(CS392:CX392)</f>
        <v>0</v>
      </c>
      <c r="CZ392" s="19"/>
    </row>
    <row r="393" ht="29.95" customHeight="1">
      <c r="CR393" t="s" s="95">
        <v>113</v>
      </c>
      <c r="CS393" s="55"/>
      <c r="CT393" s="48"/>
      <c r="CU393" s="48"/>
      <c r="CV393" s="48"/>
      <c r="CW393" s="48"/>
      <c r="CX393" s="48"/>
      <c r="CY393" s="24" cm="1">
        <f t="array" ref="CY393">SUM(CS393:CX393)</f>
        <v>0</v>
      </c>
      <c r="CZ393" s="19"/>
    </row>
    <row r="394" ht="29.95" customHeight="1">
      <c r="CR394" t="s" s="44">
        <v>70</v>
      </c>
      <c r="CS394" s="55"/>
      <c r="CT394" s="48"/>
      <c r="CU394" s="48"/>
      <c r="CV394" s="48"/>
      <c r="CW394" s="48"/>
      <c r="CX394" s="48"/>
      <c r="CY394" s="24" cm="1">
        <f t="array" ref="CY394">SUM(CS394:CX394)</f>
        <v>0</v>
      </c>
      <c r="CZ394" s="19"/>
    </row>
    <row r="395" ht="29.95" customHeight="1">
      <c r="CR395" t="s" s="44">
        <v>58</v>
      </c>
      <c r="CS395" s="55"/>
      <c r="CT395" s="48"/>
      <c r="CU395" s="48"/>
      <c r="CV395" s="48"/>
      <c r="CW395" s="48"/>
      <c r="CX395" s="48"/>
      <c r="CY395" s="24" cm="1">
        <f t="array" ref="CY395">SUM(CS395:CX395)</f>
        <v>0</v>
      </c>
      <c r="CZ395" s="19"/>
    </row>
    <row r="396" ht="29.95" customHeight="1">
      <c r="CR396" t="s" s="44">
        <v>59</v>
      </c>
      <c r="CS396" s="55"/>
      <c r="CT396" s="48"/>
      <c r="CU396" s="48"/>
      <c r="CV396" s="48"/>
      <c r="CW396" s="48"/>
      <c r="CX396" s="48"/>
      <c r="CY396" s="24" cm="1">
        <f t="array" ref="CY396">SUM(CS396:CX396)</f>
        <v>0</v>
      </c>
      <c r="CZ396" s="19"/>
    </row>
    <row r="397" ht="22.95" customHeight="1">
      <c r="CR397" t="s" s="44">
        <v>45</v>
      </c>
      <c r="CS397" s="57">
        <v>1</v>
      </c>
      <c r="CT397" s="58">
        <v>1</v>
      </c>
      <c r="CU397" s="48"/>
      <c r="CV397" s="48"/>
      <c r="CW397" s="48"/>
      <c r="CX397" s="48"/>
      <c r="CY397" s="24" cm="1">
        <f t="array" ref="CY397">SUM(CS397:CX397)</f>
        <v>2</v>
      </c>
      <c r="CZ397" s="19"/>
    </row>
    <row r="398" ht="28.5" customHeight="1">
      <c r="CR398" t="s" s="44">
        <v>46</v>
      </c>
      <c r="CS398" s="55"/>
      <c r="CT398" s="48"/>
      <c r="CU398" s="48"/>
      <c r="CV398" s="48"/>
      <c r="CW398" s="48"/>
      <c r="CX398" s="48"/>
      <c r="CY398" s="24" cm="1">
        <f t="array" ref="CY398">SUM(CS398:CX398)</f>
        <v>0</v>
      </c>
      <c r="CZ398" s="19"/>
    </row>
    <row r="399" ht="29.95" customHeight="1">
      <c r="CR399" t="s" s="44">
        <v>91</v>
      </c>
      <c r="CS399" s="55"/>
      <c r="CT399" s="48"/>
      <c r="CU399" s="48"/>
      <c r="CV399" s="48"/>
      <c r="CW399" s="48"/>
      <c r="CX399" s="48"/>
      <c r="CY399" s="24" cm="1">
        <f t="array" ref="CY399">SUM(CS399:CX399)</f>
        <v>0</v>
      </c>
      <c r="CZ399" s="19"/>
    </row>
    <row r="400" ht="29.95" customHeight="1">
      <c r="CR400" t="s" s="44">
        <v>48</v>
      </c>
      <c r="CS400" s="55"/>
      <c r="CT400" s="48"/>
      <c r="CU400" s="48"/>
      <c r="CV400" s="48"/>
      <c r="CW400" s="48"/>
      <c r="CX400" s="48"/>
      <c r="CY400" s="24" cm="1">
        <f t="array" ref="CY400">SUM(CS400:CX400)</f>
        <v>0</v>
      </c>
      <c r="CZ400" s="19"/>
    </row>
    <row r="401" ht="29.95" customHeight="1">
      <c r="CR401" t="s" s="44">
        <v>49</v>
      </c>
      <c r="CS401" s="55"/>
      <c r="CT401" s="48"/>
      <c r="CU401" s="48"/>
      <c r="CV401" s="48"/>
      <c r="CW401" s="48"/>
      <c r="CX401" s="48"/>
      <c r="CY401" s="24" cm="1">
        <f t="array" ref="CY401">SUM(CS401:CX401)</f>
        <v>0</v>
      </c>
      <c r="CZ401" s="19"/>
    </row>
    <row r="402" ht="29.95" customHeight="1">
      <c r="CR402" t="s" s="44">
        <v>101</v>
      </c>
      <c r="CS402" s="55"/>
      <c r="CT402" s="48"/>
      <c r="CU402" s="48"/>
      <c r="CV402" s="48"/>
      <c r="CW402" s="48"/>
      <c r="CX402" s="48"/>
      <c r="CY402" s="24" cm="1">
        <f t="array" ref="CY402">SUM(CS402:CX402)</f>
        <v>0</v>
      </c>
      <c r="CZ402" s="19"/>
    </row>
    <row r="403" ht="29.95" customHeight="1">
      <c r="CR403" t="s" s="32">
        <v>115</v>
      </c>
      <c r="CS403" s="55"/>
      <c r="CT403" s="48"/>
      <c r="CU403" s="48"/>
      <c r="CV403" s="48"/>
      <c r="CW403" s="48"/>
      <c r="CX403" s="48"/>
      <c r="CY403" s="24" cm="1">
        <f t="array" ref="CY403">SUM(CS403:CX403)</f>
        <v>0</v>
      </c>
      <c r="CZ403" s="19"/>
    </row>
    <row r="404" ht="29.95" customHeight="1">
      <c r="CR404" t="s" s="32">
        <v>109</v>
      </c>
      <c r="CS404" s="55"/>
      <c r="CT404" s="48"/>
      <c r="CU404" s="48"/>
      <c r="CV404" s="48"/>
      <c r="CW404" s="48"/>
      <c r="CX404" s="48"/>
      <c r="CY404" s="24" cm="1">
        <f t="array" ref="CY404">SUM(CS404:CX404)</f>
        <v>0</v>
      </c>
      <c r="CZ404" s="19"/>
    </row>
    <row r="405" ht="29.95" customHeight="1">
      <c r="CR405" t="s" s="32">
        <v>102</v>
      </c>
      <c r="CS405" s="57">
        <v>1</v>
      </c>
      <c r="CT405" s="58">
        <v>1</v>
      </c>
      <c r="CU405" s="48"/>
      <c r="CV405" s="48"/>
      <c r="CW405" s="48"/>
      <c r="CX405" s="48"/>
      <c r="CY405" s="24" cm="1">
        <f t="array" ref="CY405">SUM(CS405:CX405)</f>
        <v>2</v>
      </c>
      <c r="CZ405" s="19"/>
    </row>
    <row r="406" ht="29.95" customHeight="1">
      <c r="CR406" t="s" s="49">
        <v>30</v>
      </c>
      <c r="CS406" s="12" cm="1">
        <f t="array" ref="CS406">SUM(CS373:CS405)</f>
        <v>5</v>
      </c>
      <c r="CT406" s="24" cm="1">
        <f t="array" ref="CT406">SUM(CT373:CT405)</f>
        <v>4</v>
      </c>
      <c r="CU406" s="24" cm="1">
        <f t="array" ref="CU406">SUM(CU373:CU405)</f>
        <v>0</v>
      </c>
      <c r="CV406" s="24" cm="1">
        <f t="array" ref="CV406">SUM(CV373:CV405)</f>
        <v>0</v>
      </c>
      <c r="CW406" s="24" cm="1">
        <f t="array" ref="CW406">SUM(CW373:CW405)</f>
        <v>0</v>
      </c>
      <c r="CX406" s="24" cm="1">
        <f t="array" ref="CX406">SUM(CX373:CX405)</f>
        <v>0</v>
      </c>
      <c r="CY406" s="24" cm="1">
        <f t="array" ref="CY406">SUM(CY373:CY405)</f>
        <v>9</v>
      </c>
      <c r="CZ406" s="19"/>
    </row>
    <row r="408" ht="27.65" customHeight="1">
      <c r="DA408" t="s" s="2">
        <v>150</v>
      </c>
      <c r="DB408" s="2"/>
      <c r="DC408" s="2"/>
      <c r="DD408" s="2"/>
      <c r="DE408" s="2"/>
      <c r="DF408" s="2"/>
      <c r="DG408" s="2"/>
      <c r="DH408" s="2"/>
      <c r="DI408" s="2"/>
      <c r="DJ408" s="2"/>
    </row>
    <row r="409" ht="44.3" customHeight="1">
      <c r="DA409" s="35"/>
      <c r="DB409" t="s" s="3">
        <v>147</v>
      </c>
      <c r="DC409" t="s" s="3">
        <v>148</v>
      </c>
      <c r="DD409" t="s" s="3">
        <v>149</v>
      </c>
      <c r="DE409" t="s" s="3">
        <v>25</v>
      </c>
      <c r="DF409" t="s" s="3">
        <v>25</v>
      </c>
      <c r="DG409" t="s" s="3">
        <v>25</v>
      </c>
      <c r="DH409" t="s" s="3">
        <v>67</v>
      </c>
      <c r="DI409" t="s" s="3">
        <v>68</v>
      </c>
      <c r="DJ409" t="s" s="3">
        <v>69</v>
      </c>
    </row>
    <row r="410" ht="27.85" customHeight="1">
      <c r="DA410" t="s" s="6">
        <v>55</v>
      </c>
      <c r="DB410" s="136"/>
      <c r="DC410" s="123"/>
      <c r="DD410" s="123"/>
      <c r="DE410" s="123"/>
      <c r="DF410" s="123"/>
      <c r="DG410" s="123"/>
      <c r="DH410" s="123"/>
      <c r="DI410" s="123"/>
      <c r="DJ410" s="123"/>
    </row>
    <row r="411" ht="27.6" customHeight="1">
      <c r="DA411" t="s" s="11">
        <v>56</v>
      </c>
      <c r="DB411" s="55"/>
      <c r="DC411" s="48"/>
      <c r="DD411" s="48"/>
      <c r="DE411" s="48"/>
      <c r="DF411" s="48"/>
      <c r="DG411" s="48"/>
      <c r="DH411" s="48"/>
      <c r="DI411" s="48"/>
      <c r="DJ411" s="48"/>
    </row>
    <row r="412" ht="27.6" customHeight="1">
      <c r="DA412" t="s" s="11">
        <v>16</v>
      </c>
      <c r="DB412" s="55"/>
      <c r="DC412" s="48"/>
      <c r="DD412" s="48"/>
      <c r="DE412" s="48"/>
      <c r="DF412" s="48"/>
      <c r="DG412" s="48"/>
      <c r="DH412" s="48"/>
      <c r="DI412" s="48"/>
      <c r="DJ412" s="48"/>
    </row>
    <row r="413" ht="44.05" customHeight="1">
      <c r="DA413" t="s" s="11">
        <v>17</v>
      </c>
      <c r="DB413" s="55"/>
      <c r="DC413" s="48"/>
      <c r="DD413" s="48"/>
      <c r="DE413" s="48"/>
      <c r="DF413" s="48"/>
      <c r="DG413" s="48"/>
      <c r="DH413" s="48"/>
      <c r="DI413" s="48"/>
      <c r="DJ413" s="48"/>
    </row>
    <row r="414" ht="27.6" customHeight="1">
      <c r="DA414" t="s" s="11">
        <v>18</v>
      </c>
      <c r="DB414" s="55"/>
      <c r="DC414" s="48"/>
      <c r="DD414" s="48"/>
      <c r="DE414" s="48"/>
      <c r="DF414" s="48"/>
      <c r="DG414" s="48"/>
      <c r="DH414" s="48"/>
      <c r="DI414" s="48"/>
      <c r="DJ414" s="48"/>
    </row>
    <row r="415" ht="27.6" customHeight="1">
      <c r="DA415" t="s" s="11">
        <v>19</v>
      </c>
      <c r="DB415" s="55"/>
      <c r="DC415" s="48"/>
      <c r="DD415" s="48"/>
      <c r="DE415" s="48"/>
      <c r="DF415" s="48"/>
      <c r="DG415" s="48"/>
      <c r="DH415" s="48"/>
      <c r="DI415" s="48"/>
      <c r="DJ415" s="48"/>
    </row>
    <row r="416" ht="27.6" customHeight="1">
      <c r="DA416" t="s" s="11">
        <v>20</v>
      </c>
      <c r="DB416" s="55"/>
      <c r="DC416" s="48"/>
      <c r="DD416" s="48"/>
      <c r="DE416" s="48"/>
      <c r="DF416" s="48"/>
      <c r="DG416" s="48"/>
      <c r="DH416" s="48"/>
      <c r="DI416" s="48"/>
      <c r="DJ416" s="48"/>
    </row>
    <row r="417" ht="27.6" customHeight="1">
      <c r="DA417" t="s" s="11">
        <v>21</v>
      </c>
      <c r="DB417" s="55"/>
      <c r="DC417" s="48"/>
      <c r="DD417" s="48"/>
      <c r="DE417" s="48"/>
      <c r="DF417" s="48"/>
      <c r="DG417" s="48"/>
      <c r="DH417" s="48"/>
      <c r="DI417" s="48"/>
      <c r="DJ417" s="48"/>
    </row>
    <row r="418" ht="27.6" customHeight="1">
      <c r="DA418" t="s" s="11">
        <v>27</v>
      </c>
      <c r="DB418" s="55"/>
      <c r="DC418" s="48"/>
      <c r="DD418" s="48"/>
      <c r="DE418" s="48"/>
      <c r="DF418" s="48"/>
      <c r="DG418" s="48"/>
      <c r="DH418" s="48"/>
      <c r="DI418" s="48"/>
      <c r="DJ418" s="48"/>
    </row>
    <row r="419" ht="27.6" customHeight="1">
      <c r="DA419" t="s" s="11">
        <v>42</v>
      </c>
      <c r="DB419" s="55"/>
      <c r="DC419" s="48"/>
      <c r="DD419" s="48"/>
      <c r="DE419" s="48"/>
      <c r="DF419" s="48"/>
      <c r="DG419" s="48"/>
      <c r="DH419" s="48"/>
      <c r="DI419" s="48"/>
      <c r="DJ419" s="48"/>
    </row>
    <row r="420" ht="27.6" customHeight="1">
      <c r="DA420" t="s" s="11">
        <v>43</v>
      </c>
      <c r="DB420" s="55"/>
      <c r="DC420" s="48"/>
      <c r="DD420" s="48"/>
      <c r="DE420" s="48"/>
      <c r="DF420" s="48"/>
      <c r="DG420" s="48"/>
      <c r="DH420" s="48"/>
      <c r="DI420" s="48"/>
      <c r="DJ420" s="48"/>
    </row>
    <row r="421" ht="27.6" customHeight="1">
      <c r="DA421" t="s" s="11">
        <v>41</v>
      </c>
      <c r="DB421" s="55"/>
      <c r="DC421" s="48"/>
      <c r="DD421" s="48"/>
      <c r="DE421" s="48"/>
      <c r="DF421" s="48"/>
      <c r="DG421" s="48"/>
      <c r="DH421" s="48"/>
      <c r="DI421" s="48"/>
      <c r="DJ421" s="48"/>
    </row>
    <row r="422" ht="27.6" customHeight="1">
      <c r="DA422" t="s" s="11">
        <v>32</v>
      </c>
      <c r="DB422" s="55"/>
      <c r="DC422" s="48"/>
      <c r="DD422" s="48"/>
      <c r="DE422" s="48"/>
      <c r="DF422" s="48"/>
      <c r="DG422" s="48"/>
      <c r="DH422" s="48"/>
      <c r="DI422" s="48"/>
      <c r="DJ422" s="48"/>
    </row>
    <row r="423" ht="27.6" customHeight="1">
      <c r="DA423" t="s" s="64">
        <v>50</v>
      </c>
      <c r="DB423" s="55"/>
      <c r="DC423" s="48"/>
      <c r="DD423" s="48"/>
      <c r="DE423" s="48"/>
      <c r="DF423" s="48"/>
      <c r="DG423" s="48"/>
      <c r="DH423" s="48"/>
      <c r="DI423" s="48"/>
      <c r="DJ423" s="48"/>
    </row>
    <row r="424" ht="27.6" customHeight="1">
      <c r="DA424" t="s" s="64">
        <v>52</v>
      </c>
      <c r="DB424" s="55"/>
      <c r="DC424" s="48"/>
      <c r="DD424" s="48"/>
      <c r="DE424" s="48"/>
      <c r="DF424" s="48"/>
      <c r="DG424" s="48"/>
      <c r="DH424" s="48"/>
      <c r="DI424" s="48"/>
      <c r="DJ424" s="48"/>
    </row>
    <row r="425" ht="45.55" customHeight="1">
      <c r="DA425" t="s" s="64">
        <v>51</v>
      </c>
      <c r="DB425" s="55"/>
      <c r="DC425" s="48"/>
      <c r="DD425" s="48"/>
      <c r="DE425" s="48"/>
      <c r="DF425" s="48"/>
      <c r="DG425" s="48"/>
      <c r="DH425" s="48"/>
      <c r="DI425" s="48"/>
      <c r="DJ425" s="48"/>
    </row>
    <row r="426" ht="28.35" customHeight="1">
      <c r="DA426" t="s" s="95">
        <v>35</v>
      </c>
      <c r="DB426" s="55"/>
      <c r="DC426" s="48"/>
      <c r="DD426" s="48"/>
      <c r="DE426" s="48"/>
      <c r="DF426" s="48"/>
      <c r="DG426" s="48"/>
      <c r="DH426" s="48"/>
      <c r="DI426" s="48"/>
      <c r="DJ426" s="48"/>
    </row>
    <row r="427" ht="27.6" customHeight="1">
      <c r="DA427" t="s" s="95">
        <v>22</v>
      </c>
      <c r="DB427" s="55"/>
      <c r="DC427" s="48"/>
      <c r="DD427" s="48"/>
      <c r="DE427" s="48"/>
      <c r="DF427" s="48"/>
      <c r="DG427" s="48"/>
      <c r="DH427" s="48"/>
      <c r="DI427" s="48"/>
      <c r="DJ427" s="48"/>
    </row>
    <row r="428" ht="27.6" customHeight="1">
      <c r="DA428" t="s" s="95">
        <v>10</v>
      </c>
      <c r="DB428" s="55"/>
      <c r="DC428" s="48"/>
      <c r="DD428" s="48"/>
      <c r="DE428" s="48"/>
      <c r="DF428" s="48"/>
      <c r="DG428" s="48"/>
      <c r="DH428" s="48"/>
      <c r="DI428" s="48"/>
      <c r="DJ428" s="48"/>
    </row>
    <row r="429" ht="27.6" customHeight="1">
      <c r="DA429" t="s" s="95">
        <v>112</v>
      </c>
      <c r="DB429" s="55"/>
      <c r="DC429" s="48"/>
      <c r="DD429" s="48"/>
      <c r="DE429" s="48"/>
      <c r="DF429" s="48"/>
      <c r="DG429" s="48"/>
      <c r="DH429" s="48"/>
      <c r="DI429" s="48"/>
      <c r="DJ429" s="48"/>
    </row>
    <row r="430" ht="27.6" customHeight="1">
      <c r="DA430" t="s" s="95">
        <v>113</v>
      </c>
      <c r="DB430" s="55"/>
      <c r="DC430" s="48"/>
      <c r="DD430" s="48"/>
      <c r="DE430" s="48"/>
      <c r="DF430" s="48"/>
      <c r="DG430" s="48"/>
      <c r="DH430" s="48"/>
      <c r="DI430" s="48"/>
      <c r="DJ430" s="48"/>
    </row>
    <row r="431" ht="27.6" customHeight="1">
      <c r="DA431" t="s" s="44">
        <v>70</v>
      </c>
      <c r="DB431" s="55"/>
      <c r="DC431" s="48"/>
      <c r="DD431" s="48"/>
      <c r="DE431" s="48"/>
      <c r="DF431" s="48"/>
      <c r="DG431" s="48"/>
      <c r="DH431" s="48"/>
      <c r="DI431" s="48"/>
      <c r="DJ431" s="48"/>
    </row>
    <row r="432" ht="40.55" customHeight="1">
      <c r="DA432" t="s" s="44">
        <v>58</v>
      </c>
      <c r="DB432" s="55"/>
      <c r="DC432" s="48"/>
      <c r="DD432" s="48"/>
      <c r="DE432" s="48"/>
      <c r="DF432" s="48"/>
      <c r="DG432" s="48"/>
      <c r="DH432" s="48"/>
      <c r="DI432" s="48"/>
      <c r="DJ432" s="48"/>
    </row>
    <row r="433" ht="44.05" customHeight="1">
      <c r="DA433" t="s" s="44">
        <v>59</v>
      </c>
      <c r="DB433" s="55"/>
      <c r="DC433" s="48"/>
      <c r="DD433" s="48"/>
      <c r="DE433" s="48"/>
      <c r="DF433" s="48"/>
      <c r="DG433" s="48"/>
      <c r="DH433" s="48"/>
      <c r="DI433" s="48"/>
      <c r="DJ433" s="48"/>
    </row>
    <row r="434" ht="27.6" customHeight="1">
      <c r="DA434" t="s" s="44">
        <v>45</v>
      </c>
      <c r="DB434" s="55"/>
      <c r="DC434" s="48"/>
      <c r="DD434" s="48"/>
      <c r="DE434" s="48"/>
      <c r="DF434" s="48"/>
      <c r="DG434" s="48"/>
      <c r="DH434" s="48"/>
      <c r="DI434" s="48"/>
      <c r="DJ434" s="48"/>
    </row>
    <row r="435" ht="42.45" customHeight="1">
      <c r="DA435" t="s" s="44">
        <v>46</v>
      </c>
      <c r="DB435" s="55"/>
      <c r="DC435" s="48"/>
      <c r="DD435" s="48"/>
      <c r="DE435" s="48"/>
      <c r="DF435" s="48"/>
      <c r="DG435" s="48"/>
      <c r="DH435" s="48"/>
      <c r="DI435" s="48"/>
      <c r="DJ435" s="48"/>
    </row>
    <row r="436" ht="27.6" customHeight="1">
      <c r="DA436" t="s" s="64">
        <v>91</v>
      </c>
      <c r="DB436" s="55"/>
      <c r="DC436" s="48"/>
      <c r="DD436" s="48"/>
      <c r="DE436" s="48"/>
      <c r="DF436" s="48"/>
      <c r="DG436" s="48"/>
      <c r="DH436" s="48"/>
      <c r="DI436" s="48"/>
      <c r="DJ436" s="48"/>
    </row>
    <row r="437" ht="27.6" customHeight="1">
      <c r="DA437" t="s" s="21">
        <v>48</v>
      </c>
      <c r="DB437" s="55"/>
      <c r="DC437" s="48"/>
      <c r="DD437" s="48"/>
      <c r="DE437" s="48"/>
      <c r="DF437" s="48"/>
      <c r="DG437" s="48"/>
      <c r="DH437" s="48"/>
      <c r="DI437" s="48"/>
      <c r="DJ437" s="48"/>
    </row>
    <row r="438" ht="27.6" customHeight="1">
      <c r="DA438" t="s" s="21">
        <v>49</v>
      </c>
      <c r="DB438" s="55"/>
      <c r="DC438" s="48"/>
      <c r="DD438" s="48"/>
      <c r="DE438" s="48"/>
      <c r="DF438" s="48"/>
      <c r="DG438" s="48"/>
      <c r="DH438" s="48"/>
      <c r="DI438" s="48"/>
      <c r="DJ438" s="48"/>
    </row>
    <row r="439" ht="52.95" customHeight="1">
      <c r="DA439" t="s" s="44">
        <v>101</v>
      </c>
      <c r="DB439" s="55"/>
      <c r="DC439" s="48"/>
      <c r="DD439" s="48"/>
      <c r="DE439" s="48"/>
      <c r="DF439" s="48"/>
      <c r="DG439" s="48"/>
      <c r="DH439" s="48"/>
      <c r="DI439" s="48"/>
      <c r="DJ439" s="48"/>
    </row>
    <row r="440" ht="31.85" customHeight="1">
      <c r="DA440" t="s" s="32">
        <v>115</v>
      </c>
      <c r="DB440" s="55"/>
      <c r="DC440" s="48"/>
      <c r="DD440" s="48"/>
      <c r="DE440" s="48"/>
      <c r="DF440" s="48"/>
      <c r="DG440" s="48"/>
      <c r="DH440" s="48"/>
      <c r="DI440" s="48"/>
      <c r="DJ440" s="48"/>
    </row>
    <row r="441" ht="28.05" customHeight="1">
      <c r="DA441" t="s" s="32">
        <v>109</v>
      </c>
      <c r="DB441" s="55"/>
      <c r="DC441" s="48"/>
      <c r="DD441" s="48"/>
      <c r="DE441" s="48"/>
      <c r="DF441" s="48"/>
      <c r="DG441" s="48"/>
      <c r="DH441" s="48"/>
      <c r="DI441" s="48"/>
      <c r="DJ441" s="48"/>
    </row>
    <row r="442" ht="30.75" customHeight="1">
      <c r="DA442" t="s" s="32">
        <v>102</v>
      </c>
      <c r="DB442" s="55"/>
      <c r="DC442" s="48"/>
      <c r="DD442" s="48"/>
      <c r="DE442" s="48"/>
      <c r="DF442" s="48"/>
      <c r="DG442" s="48"/>
      <c r="DH442" s="48"/>
      <c r="DI442" s="48"/>
      <c r="DJ442" s="48"/>
    </row>
    <row r="443" ht="21" customHeight="1">
      <c r="DA443" t="s" s="49">
        <v>30</v>
      </c>
      <c r="DB443" s="12" cm="1">
        <f t="array" ref="DB443">SUM(DB410:DB442)</f>
        <v>0</v>
      </c>
      <c r="DC443" s="24" cm="1">
        <f t="array" ref="DC443">SUM(DC410:DC442)</f>
        <v>0</v>
      </c>
      <c r="DD443" s="24" cm="1">
        <f t="array" ref="DD443">SUM(DD410:DD442)</f>
        <v>0</v>
      </c>
      <c r="DE443" s="24" cm="1">
        <f t="array" ref="DE443">SUM(DE410:DE442)</f>
        <v>0</v>
      </c>
      <c r="DF443" s="24" cm="1">
        <f t="array" ref="DF443">SUM(DF410:DF442)</f>
        <v>0</v>
      </c>
      <c r="DG443" s="24" cm="1">
        <f t="array" ref="DG443">SUM(DG410:DG442)</f>
        <v>0</v>
      </c>
      <c r="DH443" s="24" cm="1">
        <f t="array" ref="DH443">SUM(DH410:DH442)</f>
        <v>0</v>
      </c>
      <c r="DI443" s="24" cm="1">
        <f t="array" ref="DI443">SUM(DI410:DI442)</f>
        <v>0</v>
      </c>
      <c r="DJ443" s="24" cm="1">
        <f t="array" ref="DJ443">SUM(DJ410:DJ442)</f>
        <v>0</v>
      </c>
    </row>
  </sheetData>
  <mergeCells count="16">
    <mergeCell ref="A1:N1"/>
    <mergeCell ref="B26:I26"/>
    <mergeCell ref="B33:I33"/>
    <mergeCell ref="B32:E32"/>
    <mergeCell ref="B48:E48"/>
    <mergeCell ref="T84:AC84"/>
    <mergeCell ref="AD118:AL118"/>
    <mergeCell ref="AM151:AV151"/>
    <mergeCell ref="AW188:BE188"/>
    <mergeCell ref="BF224:BO224"/>
    <mergeCell ref="BP261:BX261"/>
    <mergeCell ref="BY298:CG298"/>
    <mergeCell ref="CC300:CC332"/>
    <mergeCell ref="CH335:CQ335"/>
    <mergeCell ref="CL337:CL369"/>
    <mergeCell ref="DA408:DJ40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C2:DX484"/>
  <sheetViews>
    <sheetView workbookViewId="0" showGridLines="0" defaultGridColor="1">
      <pane topLeftCell="D3" xSplit="3" ySplit="2" activePane="bottomRight" state="frozen"/>
    </sheetView>
  </sheetViews>
  <sheetFormatPr defaultColWidth="16.3333" defaultRowHeight="19.9" customHeight="1" outlineLevelRow="0" outlineLevelCol="0"/>
  <cols>
    <col min="1" max="1" width="255" style="157" customWidth="1"/>
    <col min="2" max="2" width="45.1875" style="157" customWidth="1"/>
    <col min="3" max="3" width="30.3672" style="157" customWidth="1"/>
    <col min="4" max="11" width="16.3516" style="157" customWidth="1"/>
    <col min="12" max="12" width="30" style="159" customWidth="1"/>
    <col min="13" max="19" width="16.3516" style="159" customWidth="1"/>
    <col min="20" max="20" width="15.8594" style="159" customWidth="1"/>
    <col min="21" max="28" width="16.625" style="159" customWidth="1"/>
    <col min="29" max="29" width="28.1172" style="178" customWidth="1"/>
    <col min="30" max="38" width="19.4375" style="178" customWidth="1"/>
    <col min="39" max="39" width="24.8125" style="180" customWidth="1"/>
    <col min="40" max="48" width="17.6719" style="180" customWidth="1"/>
    <col min="49" max="49" width="28.6953" style="182" customWidth="1"/>
    <col min="50" max="58" width="19.0703" style="182" customWidth="1"/>
    <col min="59" max="59" width="24.8125" style="185" customWidth="1"/>
    <col min="60" max="68" width="17.6719" style="185" customWidth="1"/>
    <col min="69" max="69" width="27.4297" style="187" customWidth="1"/>
    <col min="70" max="78" width="19.5078" style="187" customWidth="1"/>
    <col min="79" max="79" width="24.8125" style="188" customWidth="1"/>
    <col min="80" max="88" width="17.6719" style="188" customWidth="1"/>
    <col min="89" max="89" width="29.8516" style="190" customWidth="1"/>
    <col min="90" max="98" width="19.5938" style="190" customWidth="1"/>
    <col min="99" max="99" width="24.8125" style="192" customWidth="1"/>
    <col min="100" max="108" width="17.6719" style="192" customWidth="1"/>
    <col min="109" max="109" width="29.8516" style="194" customWidth="1"/>
    <col min="110" max="118" width="19.5938" style="194" customWidth="1"/>
    <col min="119" max="119" width="24.8125" style="195" customWidth="1"/>
    <col min="120" max="128" width="17.6719" style="195" customWidth="1"/>
    <col min="129" max="16384" width="16.3516" style="195" customWidth="1"/>
  </cols>
  <sheetData>
    <row r="1" ht="208" customHeight="1"/>
    <row r="2" ht="31.15" customHeight="1">
      <c r="C2" t="s" s="3">
        <v>25</v>
      </c>
      <c r="D2" t="s" s="3">
        <v>117</v>
      </c>
      <c r="E2" t="s" s="3">
        <v>118</v>
      </c>
      <c r="F2" t="s" s="3">
        <v>119</v>
      </c>
      <c r="G2" t="s" s="3">
        <v>151</v>
      </c>
      <c r="H2" t="s" s="3"/>
      <c r="I2" t="s" s="3"/>
      <c r="J2" t="s" s="3"/>
      <c r="K2" t="s" s="3">
        <v>152</v>
      </c>
    </row>
    <row r="3" ht="31.15" customHeight="1">
      <c r="C3" t="s" s="6">
        <v>55</v>
      </c>
      <c r="D3" s="36">
        <v>4</v>
      </c>
      <c r="E3" s="115" cm="1">
        <f t="array" ref="E3">'NOVIEMBRE 2025'!AN102+'NOVIEMBRE 2025'!AW127+'NOVIEMBRE 2025'!BP189+'NOVIEMBRE 2025'!CI251</f>
        <v>4</v>
      </c>
      <c r="F3" s="115" cm="1">
        <f t="array" ref="F3">'DICIEMBRE 2025'!AK120+'DICIEMBRE 2025'!BD190+'DICIEMBRE 2025'!BW263+'DICIEMBRE 2025'!CF300+'DICIEMBRE 2025'!CY373</f>
        <v>5</v>
      </c>
      <c r="G3" s="115" cm="1">
        <f t="array" ref="G3">AJ93+BD160+BX237+CR321+DL404</f>
        <v>3</v>
      </c>
      <c r="H3" s="37"/>
      <c r="I3" s="37"/>
      <c r="J3" s="37"/>
      <c r="K3" s="37"/>
    </row>
    <row r="4" ht="30.85" customHeight="1">
      <c r="C4" t="s" s="11">
        <v>56</v>
      </c>
      <c r="D4" s="38">
        <v>0</v>
      </c>
      <c r="E4" s="40" cm="1">
        <f t="array" ref="E4">'NOVIEMBRE 2025'!CI252+'NOVIEMBRE 2025'!BP190+'NOVIEMBRE 2025'!AW128+'NOVIEMBRE 2025'!AN103</f>
        <v>0</v>
      </c>
      <c r="F4" s="40" cm="1">
        <f t="array" ref="F4">'DICIEMBRE 2025'!AK121+'DICIEMBRE 2025'!BD191+'DICIEMBRE 2025'!BW264+'DICIEMBRE 2025'!CF301+'DICIEMBRE 2025'!CY374</f>
        <v>1</v>
      </c>
      <c r="G4" s="40" cm="1">
        <f t="array" ref="G4">AJ94+BD161+BX238+CR322+DL405</f>
        <v>2</v>
      </c>
      <c r="H4" s="19"/>
      <c r="I4" s="19"/>
      <c r="J4" s="19"/>
      <c r="K4" s="19"/>
    </row>
    <row r="5" ht="30.85" customHeight="1">
      <c r="C5" t="s" s="95">
        <v>35</v>
      </c>
      <c r="D5" s="38">
        <v>3</v>
      </c>
      <c r="E5" s="40" cm="1">
        <f t="array" ref="E5">'NOVIEMBRE 2025'!AN105+'NOVIEMBRE 2025'!AW130+'NOVIEMBRE 2025'!BP192+'NOVIEMBRE 2025'!CI254</f>
        <v>2</v>
      </c>
      <c r="F5" s="40" cm="1">
        <f t="array" ref="F5">'DICIEMBRE 2025'!AK122+'DICIEMBRE 2025'!BD192+'DICIEMBRE 2025'!BW265+'DICIEMBRE 2025'!CF316+'DICIEMBRE 2025'!CY389</f>
        <v>3</v>
      </c>
      <c r="G5" s="40" cm="1">
        <f t="array" ref="G5">AJ95+BD162+BX239+CR337+DL420</f>
        <v>7</v>
      </c>
      <c r="H5" s="19"/>
      <c r="I5" s="19"/>
      <c r="J5" s="19"/>
      <c r="K5" s="19"/>
    </row>
    <row r="6" ht="30.85" customHeight="1">
      <c r="C6" t="s" s="95">
        <v>10</v>
      </c>
      <c r="D6" s="39"/>
      <c r="E6" s="40" cm="1">
        <f t="array" ref="E6">'NOVIEMBRE 2025'!AN104+'NOVIEMBRE 2025'!AW129+'NOVIEMBRE 2025'!BP191+'NOVIEMBRE 2025'!CI253</f>
        <v>9</v>
      </c>
      <c r="F6" s="40" cm="1">
        <f t="array" ref="F6">'DICIEMBRE 2025'!AK138+'DICIEMBRE 2025'!BD208+'DICIEMBRE 2025'!BW281+'DICIEMBRE 2025'!CF318+'DICIEMBRE 2025'!CY391</f>
        <v>11</v>
      </c>
      <c r="G6" s="40" cm="1">
        <f t="array" ref="G6">BD178+BX255+CR339+DL422</f>
        <v>13</v>
      </c>
      <c r="H6" s="19"/>
      <c r="I6" s="19"/>
      <c r="J6" s="19"/>
      <c r="K6" s="19"/>
    </row>
    <row r="7" ht="20.05" customHeight="1">
      <c r="C7" t="s" s="95">
        <v>22</v>
      </c>
      <c r="D7" s="38">
        <v>6</v>
      </c>
      <c r="E7" s="40" cm="1">
        <f t="array" ref="E7">'NOVIEMBRE 2025'!AN112+'NOVIEMBRE 2025'!AW137+'NOVIEMBRE 2025'!BP199+'NOVIEMBRE 2025'!CI261</f>
        <v>11</v>
      </c>
      <c r="F7" s="40" cm="1">
        <f t="array" ref="F7">'DICIEMBRE 2025'!AK137+'DICIEMBRE 2025'!BD207+'DICIEMBRE 2025'!BW280+'DICIEMBRE 2025'!CF317+'DICIEMBRE 2025'!CY390</f>
        <v>11</v>
      </c>
      <c r="G7" s="40" cm="1">
        <f t="array" ref="G7">AJ110+BD177+BX254+CR338+DL421</f>
        <v>11</v>
      </c>
      <c r="H7" s="19"/>
      <c r="I7" s="19"/>
      <c r="J7" s="19"/>
      <c r="K7" s="19"/>
    </row>
    <row r="8" ht="22.5" customHeight="1">
      <c r="C8" t="s" s="95">
        <v>121</v>
      </c>
      <c r="D8" s="38">
        <v>0</v>
      </c>
      <c r="E8" s="40">
        <v>0</v>
      </c>
      <c r="F8" s="40" cm="1">
        <f t="array" ref="F8">'DICIEMBRE 2025'!BD209+'DICIEMBRE 2025'!BW282+'DICIEMBRE 2025'!CF319+'DICIEMBRE 2025'!CY392</f>
        <v>0</v>
      </c>
      <c r="G8" s="158"/>
      <c r="H8" s="19"/>
      <c r="I8" s="19"/>
      <c r="J8" s="19"/>
      <c r="K8" s="19"/>
    </row>
    <row r="9" ht="22.5" customHeight="1">
      <c r="C9" t="s" s="95">
        <v>113</v>
      </c>
      <c r="D9" s="38">
        <v>0</v>
      </c>
      <c r="E9" s="40">
        <v>0</v>
      </c>
      <c r="F9" s="40" cm="1">
        <f t="array" ref="F9">'DICIEMBRE 2025'!BD210+'DICIEMBRE 2025'!BW283+'DICIEMBRE 2025'!CF320+'DICIEMBRE 2025'!CY393</f>
        <v>0</v>
      </c>
      <c r="G9" s="158"/>
      <c r="H9" s="19"/>
      <c r="I9" s="19"/>
      <c r="J9" s="19"/>
      <c r="K9" s="19"/>
    </row>
    <row r="10" ht="30.85" customHeight="1">
      <c r="C10" t="s" s="11">
        <v>16</v>
      </c>
      <c r="D10" s="39"/>
      <c r="E10" s="40" cm="1">
        <f t="array" ref="E10">'NOVIEMBRE 2025'!CI255+'NOVIEMBRE 2025'!BP193+'NOVIEMBRE 2025'!AW131+'NOVIEMBRE 2025'!AN106</f>
        <v>6</v>
      </c>
      <c r="F10" s="40" cm="1">
        <f t="array" ref="F10">'DICIEMBRE 2025'!AK123+'DICIEMBRE 2025'!BD193+'DICIEMBRE 2025'!BW266+'DICIEMBRE 2025'!CF302+'DICIEMBRE 2025'!CY375</f>
        <v>6</v>
      </c>
      <c r="G10" s="40" cm="1">
        <f t="array" ref="G10">AJ96+BD163+BX240+CR323+DL406</f>
        <v>10</v>
      </c>
      <c r="H10" s="19"/>
      <c r="I10" s="19"/>
      <c r="J10" s="19"/>
      <c r="K10" s="19"/>
    </row>
    <row r="11" ht="30.85" customHeight="1">
      <c r="C11" t="s" s="11">
        <v>17</v>
      </c>
      <c r="D11" s="39"/>
      <c r="E11" s="40" cm="1">
        <f t="array" ref="E11">'NOVIEMBRE 2025'!AN107+'NOVIEMBRE 2025'!AW132+'NOVIEMBRE 2025'!BP194+'NOVIEMBRE 2025'!CI256</f>
        <v>1</v>
      </c>
      <c r="F11" s="40" cm="1">
        <f t="array" ref="F11">'DICIEMBRE 2025'!AK124+'DICIEMBRE 2025'!BD194+'DICIEMBRE 2025'!BW267+'DICIEMBRE 2025'!CF303+'DICIEMBRE 2025'!CY376</f>
        <v>0</v>
      </c>
      <c r="G11" s="158"/>
      <c r="H11" s="19"/>
      <c r="I11" s="19"/>
      <c r="J11" s="19"/>
      <c r="K11" s="19"/>
    </row>
    <row r="12" ht="30.85" customHeight="1">
      <c r="C12" t="s" s="11">
        <v>18</v>
      </c>
      <c r="D12" s="39"/>
      <c r="E12" s="40" cm="1">
        <f t="array" ref="E12">'NOVIEMBRE 2025'!CI257+'NOVIEMBRE 2025'!BP195+'NOVIEMBRE 2025'!AW133+'NOVIEMBRE 2025'!AN108</f>
        <v>10</v>
      </c>
      <c r="F12" s="40" cm="1">
        <f t="array" ref="F12">'DICIEMBRE 2025'!AK125+'DICIEMBRE 2025'!BD195+'DICIEMBRE 2025'!BW268+'DICIEMBRE 2025'!CF304+'DICIEMBRE 2025'!CY377</f>
        <v>1</v>
      </c>
      <c r="G12" s="40" cm="1">
        <f t="array" ref="G12">AJ98+BD165+BX242+CR325+DL408</f>
        <v>10</v>
      </c>
      <c r="H12" s="19"/>
      <c r="I12" s="19"/>
      <c r="J12" s="19"/>
      <c r="K12" s="24" cm="1">
        <f t="array" ref="K12">AL98+BF165+BZ242+CT325+DN408</f>
        <v>6</v>
      </c>
    </row>
    <row r="13" ht="30.85" customHeight="1">
      <c r="C13" t="s" s="11">
        <v>19</v>
      </c>
      <c r="D13" s="39"/>
      <c r="E13" s="40">
        <v>1</v>
      </c>
      <c r="F13" s="40" cm="1">
        <f t="array" ref="F13">'DICIEMBRE 2025'!AK126+'DICIEMBRE 2025'!BD196+'DICIEMBRE 2025'!BW269+'DICIEMBRE 2025'!CF305+'DICIEMBRE 2025'!CY378</f>
        <v>0</v>
      </c>
      <c r="G13" s="158"/>
      <c r="H13" s="19"/>
      <c r="I13" s="19"/>
      <c r="J13" s="19"/>
      <c r="K13" s="19"/>
    </row>
    <row r="14" ht="30.85" customHeight="1">
      <c r="C14" t="s" s="11">
        <v>20</v>
      </c>
      <c r="D14" s="39"/>
      <c r="E14" s="40" cm="1">
        <f t="array" ref="E14">'NOVIEMBRE 2025'!CI259+'NOVIEMBRE 2025'!BP197+'NOVIEMBRE 2025'!AW135+'NOVIEMBRE 2025'!AN110</f>
        <v>4</v>
      </c>
      <c r="F14" s="40" cm="1">
        <f t="array" ref="F14">'DICIEMBRE 2025'!AK127+'DICIEMBRE 2025'!BD197+'DICIEMBRE 2025'!BW270+'DICIEMBRE 2025'!CF306+'DICIEMBRE 2025'!CY379</f>
        <v>1</v>
      </c>
      <c r="G14" s="158"/>
      <c r="H14" s="19"/>
      <c r="I14" s="19"/>
      <c r="J14" s="19"/>
      <c r="K14" s="19"/>
    </row>
    <row r="15" ht="30.85" customHeight="1">
      <c r="C15" t="s" s="11">
        <v>21</v>
      </c>
      <c r="D15" s="39"/>
      <c r="E15" s="40" cm="1">
        <f t="array" ref="E15">'NOVIEMBRE 2025'!CI260+'NOVIEMBRE 2025'!BP198+'NOVIEMBRE 2025'!AW136+'NOVIEMBRE 2025'!AN111</f>
        <v>5</v>
      </c>
      <c r="F15" s="40" cm="1">
        <f t="array" ref="F15">'DICIEMBRE 2025'!AK128+'DICIEMBRE 2025'!BD198+'DICIEMBRE 2025'!BW271+'DICIEMBRE 2025'!CF307+'DICIEMBRE 2025'!CY380</f>
        <v>0</v>
      </c>
      <c r="G15" s="158"/>
      <c r="H15" s="19"/>
      <c r="I15" s="19"/>
      <c r="J15" s="19"/>
      <c r="K15" s="19"/>
    </row>
    <row r="16" ht="30.85" customHeight="1">
      <c r="C16" t="s" s="11">
        <v>27</v>
      </c>
      <c r="D16" s="38">
        <v>0</v>
      </c>
      <c r="E16" s="40" cm="1">
        <f t="array" ref="E16">'NOVIEMBRE 2025'!CI262+'NOVIEMBRE 2025'!BP200+'NOVIEMBRE 2025'!AW138+'NOVIEMBRE 2025'!AN113</f>
        <v>7</v>
      </c>
      <c r="F16" s="40" cm="1">
        <f t="array" ref="F16">'DICIEMBRE 2025'!AK129+'DICIEMBRE 2025'!BD199+'DICIEMBRE 2025'!BW272+'DICIEMBRE 2025'!CF308+'DICIEMBRE 2025'!CY381</f>
        <v>3</v>
      </c>
      <c r="G16" s="40" cm="1">
        <f t="array" ref="G16">AJ102+BD169+BX246+CR329+DL412</f>
        <v>9</v>
      </c>
      <c r="H16" s="19"/>
      <c r="I16" s="19"/>
      <c r="J16" s="19"/>
      <c r="K16" s="19"/>
    </row>
    <row r="17" ht="30.85" customHeight="1">
      <c r="C17" t="s" s="11">
        <v>42</v>
      </c>
      <c r="D17" s="38">
        <v>1</v>
      </c>
      <c r="E17" s="40">
        <v>0</v>
      </c>
      <c r="F17" s="40" cm="1">
        <f t="array" ref="F17">'DICIEMBRE 2025'!AK130+'DICIEMBRE 2025'!BD200+'DICIEMBRE 2025'!BW273+'DICIEMBRE 2025'!CF309+'DICIEMBRE 2025'!CY382</f>
        <v>0</v>
      </c>
      <c r="G17" s="158"/>
      <c r="H17" s="19"/>
      <c r="I17" s="19"/>
      <c r="J17" s="19"/>
      <c r="K17" s="19"/>
    </row>
    <row r="18" ht="30.85" customHeight="1">
      <c r="C18" t="s" s="11">
        <v>43</v>
      </c>
      <c r="D18" s="38">
        <v>1</v>
      </c>
      <c r="E18" s="40">
        <v>1</v>
      </c>
      <c r="F18" s="40" cm="1">
        <f t="array" ref="F18">'DICIEMBRE 2025'!AK131+'DICIEMBRE 2025'!BD201+'DICIEMBRE 2025'!BW274+'DICIEMBRE 2025'!CF310+'DICIEMBRE 2025'!CY383</f>
        <v>0</v>
      </c>
      <c r="G18" s="158"/>
      <c r="H18" s="19"/>
      <c r="I18" s="19"/>
      <c r="J18" s="19"/>
      <c r="K18" s="19"/>
    </row>
    <row r="19" ht="30.85" customHeight="1">
      <c r="C19" t="s" s="11">
        <v>41</v>
      </c>
      <c r="D19" s="38">
        <v>1</v>
      </c>
      <c r="E19" s="40">
        <v>1</v>
      </c>
      <c r="F19" s="40" cm="1">
        <f t="array" ref="F19">'DICIEMBRE 2025'!AK132+'DICIEMBRE 2025'!BD202+'DICIEMBRE 2025'!BW275+'DICIEMBRE 2025'!CF311+'DICIEMBRE 2025'!CY384</f>
        <v>0</v>
      </c>
      <c r="G19" s="158"/>
      <c r="H19" s="19"/>
      <c r="I19" s="19"/>
      <c r="J19" s="19"/>
      <c r="K19" s="19"/>
    </row>
    <row r="20" ht="30.85" customHeight="1">
      <c r="C20" t="s" s="11">
        <v>32</v>
      </c>
      <c r="D20" s="38">
        <v>2</v>
      </c>
      <c r="E20" s="40" cm="1">
        <f t="array" ref="E20">'NOVIEMBRE 2025'!CI266+'NOVIEMBRE 2025'!BP204+'NOVIEMBRE 2025'!AW142+'NOVIEMBRE 2025'!AN117</f>
        <v>2</v>
      </c>
      <c r="F20" s="40" cm="1">
        <f t="array" ref="F20">'DICIEMBRE 2025'!AK133+'DICIEMBRE 2025'!BD203+'DICIEMBRE 2025'!BW276+'DICIEMBRE 2025'!CF312+'DICIEMBRE 2025'!CY385</f>
        <v>0</v>
      </c>
      <c r="G20" s="40" cm="1">
        <f t="array" ref="G20">AJ106+BD173+BX250+CR333+DL416</f>
        <v>10</v>
      </c>
      <c r="H20" s="19"/>
      <c r="I20" s="19"/>
      <c r="J20" s="19"/>
      <c r="K20" s="19"/>
    </row>
    <row r="21" ht="30.85" customHeight="1">
      <c r="C21" t="s" s="32">
        <v>58</v>
      </c>
      <c r="D21" s="38">
        <v>0</v>
      </c>
      <c r="E21" s="40">
        <v>0</v>
      </c>
      <c r="F21" s="40" cm="1">
        <f t="array" ref="F21">'DICIEMBRE 2025'!AK140+'DICIEMBRE 2025'!BD212+'DICIEMBRE 2025'!BW285+'DICIEMBRE 2025'!CF322+'DICIEMBRE 2025'!CY395</f>
        <v>0</v>
      </c>
      <c r="G21" s="158"/>
      <c r="H21" s="19"/>
      <c r="I21" s="19"/>
      <c r="J21" s="19"/>
      <c r="K21" s="19"/>
    </row>
    <row r="22" ht="30.85" customHeight="1">
      <c r="C22" t="s" s="32">
        <v>59</v>
      </c>
      <c r="D22" s="38">
        <v>0</v>
      </c>
      <c r="E22" s="40">
        <v>1</v>
      </c>
      <c r="F22" s="40" cm="1">
        <f t="array" ref="F22">'DICIEMBRE 2025'!AK141+'DICIEMBRE 2025'!BD213+'DICIEMBRE 2025'!BW286+'DICIEMBRE 2025'!CF323+'DICIEMBRE 2025'!CY396</f>
        <v>0</v>
      </c>
      <c r="G22" s="158"/>
      <c r="H22" s="19"/>
      <c r="I22" s="19"/>
      <c r="J22" s="19"/>
      <c r="K22" s="19"/>
    </row>
    <row r="23" ht="30.85" customHeight="1">
      <c r="C23" t="s" s="32">
        <v>45</v>
      </c>
      <c r="D23" s="38">
        <v>0</v>
      </c>
      <c r="E23" s="40">
        <v>2</v>
      </c>
      <c r="F23" s="40" cm="1">
        <f t="array" ref="F23">'DICIEMBRE 2025'!AK142+'DICIEMBRE 2025'!BD214+'DICIEMBRE 2025'!BW287+'DICIEMBRE 2025'!CF324+'DICIEMBRE 2025'!CY397</f>
        <v>7</v>
      </c>
      <c r="G23" s="40" cm="1">
        <f t="array" ref="G23">AJ115+BD184+BX261+CR345+DL428</f>
        <v>13</v>
      </c>
      <c r="H23" s="19"/>
      <c r="I23" s="19"/>
      <c r="J23" s="19"/>
      <c r="K23" s="19"/>
    </row>
    <row r="24" ht="30.85" customHeight="1">
      <c r="C24" t="s" s="32">
        <v>46</v>
      </c>
      <c r="D24" s="38">
        <v>0</v>
      </c>
      <c r="E24" s="40">
        <v>2</v>
      </c>
      <c r="F24" s="40" cm="1">
        <f t="array" ref="F24">'DICIEMBRE 2025'!AK143+'DICIEMBRE 2025'!BD215+'DICIEMBRE 2025'!BW288+'DICIEMBRE 2025'!CF325+'DICIEMBRE 2025'!CY398</f>
        <v>5</v>
      </c>
      <c r="G24" s="40" cm="1">
        <f t="array" ref="G24">AJ116+BD185+BX262+CR346+DL429</f>
        <v>8</v>
      </c>
      <c r="H24" s="19"/>
      <c r="I24" s="19"/>
      <c r="J24" s="19"/>
      <c r="K24" s="19"/>
    </row>
    <row r="25" ht="30.85" customHeight="1">
      <c r="C25" t="s" s="32">
        <v>153</v>
      </c>
      <c r="D25" s="38">
        <v>0</v>
      </c>
      <c r="E25" s="40">
        <v>0</v>
      </c>
      <c r="F25" s="40">
        <v>0</v>
      </c>
      <c r="G25" s="40" cm="1">
        <f t="array" ref="G25">BX263+CR347+DL430</f>
        <v>6</v>
      </c>
      <c r="H25" s="19"/>
      <c r="I25" s="19"/>
      <c r="J25" s="19"/>
      <c r="K25" s="19"/>
    </row>
    <row r="26" ht="30.85" customHeight="1">
      <c r="C26" t="s" s="32">
        <v>91</v>
      </c>
      <c r="D26" s="38">
        <v>0</v>
      </c>
      <c r="E26" s="40" cm="1">
        <f t="array" ref="E26">'NOVIEMBRE 2025'!CI275+'NOVIEMBRE 2025'!BP212+'NOVIEMBRE 2025'!AW151</f>
        <v>6</v>
      </c>
      <c r="F26" s="40" cm="1">
        <f t="array" ref="F26">'DICIEMBRE 2025'!AK144+'DICIEMBRE 2025'!BD216+'DICIEMBRE 2025'!BW289+'DICIEMBRE 2025'!CF326+'DICIEMBRE 2025'!CY399</f>
        <v>5</v>
      </c>
      <c r="G26" s="40" cm="1">
        <f t="array" ref="G26">AJ117+BD186+BX264+CR348+DL431</f>
        <v>0</v>
      </c>
      <c r="H26" s="19"/>
      <c r="I26" s="19"/>
      <c r="J26" s="19"/>
      <c r="K26" s="19"/>
    </row>
    <row r="27" ht="30.85" customHeight="1">
      <c r="C27" t="s" s="32">
        <v>48</v>
      </c>
      <c r="D27" s="38">
        <v>0</v>
      </c>
      <c r="E27" s="40" cm="1">
        <f t="array" ref="E27">'NOVIEMBRE 2025'!AX152+'NOVIEMBRE 2025'!BQ213+'NOVIEMBRE 2025'!CI276</f>
        <v>9</v>
      </c>
      <c r="F27" s="40" cm="1">
        <f t="array" ref="F27">'DICIEMBRE 2025'!AK145+'DICIEMBRE 2025'!BD217+'DICIEMBRE 2025'!BW290+'DICIEMBRE 2025'!CF327+'DICIEMBRE 2025'!CY400</f>
        <v>8</v>
      </c>
      <c r="G27" s="40" cm="1">
        <f t="array" ref="G27">AJ118+BD187+BX265+CR349+DL432</f>
        <v>5</v>
      </c>
      <c r="H27" s="19"/>
      <c r="I27" s="19"/>
      <c r="J27" s="19"/>
      <c r="K27" s="19"/>
    </row>
    <row r="28" ht="30.85" customHeight="1">
      <c r="C28" t="s" s="32">
        <v>49</v>
      </c>
      <c r="D28" s="38">
        <v>0</v>
      </c>
      <c r="E28" s="40" cm="1">
        <f t="array" ref="E28">'NOVIEMBRE 2025'!CI277+'NOVIEMBRE 2025'!BP214+'NOVIEMBRE 2025'!AW153</f>
        <v>7</v>
      </c>
      <c r="F28" s="40" cm="1">
        <f t="array" ref="F28">'DICIEMBRE 2025'!AK146+'DICIEMBRE 2025'!BD218+'DICIEMBRE 2025'!BW291+'DICIEMBRE 2025'!CF328+'DICIEMBRE 2025'!CY401</f>
        <v>5</v>
      </c>
      <c r="G28" s="40" cm="1">
        <f t="array" ref="G28">AJ119+BD188+BX266+CR350+DL433</f>
        <v>4</v>
      </c>
      <c r="H28" s="19"/>
      <c r="I28" s="19"/>
      <c r="J28" s="19"/>
      <c r="K28" s="19"/>
    </row>
    <row r="29" ht="30.85" customHeight="1">
      <c r="C29" t="s" s="32">
        <v>50</v>
      </c>
      <c r="D29" s="38">
        <v>0</v>
      </c>
      <c r="E29" s="40">
        <v>1</v>
      </c>
      <c r="F29" s="40" cm="1">
        <f t="array" ref="F29">'DICIEMBRE 2025'!AK147+'DICIEMBRE 2025'!BW292+'DICIEMBRE 2025'!CF329+'DICIEMBRE 2025'!BD219+'DICIEMBRE 2025'!CY402</f>
        <v>0</v>
      </c>
      <c r="G29" s="40" cm="1">
        <f t="array" ref="G29">AJ107+BD174+BX251+CR334+DL417</f>
        <v>1</v>
      </c>
      <c r="H29" s="19"/>
      <c r="I29" s="19"/>
      <c r="J29" s="19"/>
      <c r="K29" s="19"/>
    </row>
    <row r="30" ht="30.85" customHeight="1">
      <c r="C30" t="s" s="32">
        <v>51</v>
      </c>
      <c r="D30" s="38">
        <v>0</v>
      </c>
      <c r="E30" s="40">
        <v>1</v>
      </c>
      <c r="F30" s="40" cm="1">
        <f t="array" ref="F30">'DICIEMBRE 2025'!AK136+'DICIEMBRE 2025'!BD206+'DICIEMBRE 2025'!BW279+'DICIEMBRE 2025'!CF315+'DICIEMBRE 2025'!CY388</f>
        <v>0</v>
      </c>
      <c r="G30" s="40" cm="1">
        <f t="array" ref="G30">AJ109+BD176+BX253+CR336+DL419</f>
        <v>0</v>
      </c>
      <c r="H30" s="19"/>
      <c r="I30" s="19"/>
      <c r="J30" s="19"/>
      <c r="K30" s="19"/>
    </row>
    <row r="31" ht="30.85" customHeight="1">
      <c r="C31" t="s" s="32">
        <v>52</v>
      </c>
      <c r="D31" s="38">
        <v>0</v>
      </c>
      <c r="E31" s="40">
        <v>1</v>
      </c>
      <c r="F31" s="40" cm="1">
        <f t="array" ref="F31">'DICIEMBRE 2025'!AK135+'DICIEMBRE 2025'!BD205+'DICIEMBRE 2025'!BW278+'DICIEMBRE 2025'!CF314+'DICIEMBRE 2025'!CY387</f>
        <v>0</v>
      </c>
      <c r="G31" s="40" cm="1">
        <f t="array" ref="G31">AJ108+BD175+BX252+CR335+DL418</f>
        <v>1</v>
      </c>
      <c r="H31" s="19"/>
      <c r="I31" s="19"/>
      <c r="J31" s="19"/>
      <c r="K31" s="19"/>
    </row>
    <row r="32" ht="30.85" customHeight="1">
      <c r="C32" t="s" s="32">
        <v>115</v>
      </c>
      <c r="D32" s="38">
        <v>0</v>
      </c>
      <c r="E32" s="40">
        <v>0</v>
      </c>
      <c r="F32" s="40" cm="1">
        <f t="array" ref="F32">'DICIEMBRE 2025'!BD220+'DICIEMBRE 2025'!BW293+'DICIEMBRE 2025'!CF330+'DICIEMBRE 2025'!CY403</f>
        <v>3</v>
      </c>
      <c r="G32" s="40" cm="1">
        <f t="array" ref="G32">BD190+BX268+CR352+DL435</f>
        <v>4</v>
      </c>
      <c r="H32" s="19"/>
      <c r="I32" s="19"/>
      <c r="J32" s="19"/>
      <c r="K32" s="19"/>
    </row>
    <row r="33" ht="30.85" customHeight="1">
      <c r="C33" t="s" s="32">
        <v>109</v>
      </c>
      <c r="D33" s="38">
        <v>0</v>
      </c>
      <c r="E33" s="40">
        <v>0</v>
      </c>
      <c r="F33" s="40" cm="1">
        <f t="array" ref="F33">'DICIEMBRE 2025'!BW294+'DICIEMBRE 2025'!CF331+'DICIEMBRE 2025'!CY404</f>
        <v>6</v>
      </c>
      <c r="G33" s="40" cm="1">
        <f t="array" ref="G33">DL436+BX269+CR353</f>
        <v>3</v>
      </c>
      <c r="H33" s="19"/>
      <c r="I33" s="19"/>
      <c r="J33" s="19"/>
      <c r="K33" s="19"/>
    </row>
    <row r="34" ht="30.85" customHeight="1">
      <c r="C34" t="s" s="32">
        <v>154</v>
      </c>
      <c r="D34" s="38">
        <v>0</v>
      </c>
      <c r="E34" s="40">
        <v>0</v>
      </c>
      <c r="F34" s="40">
        <v>0</v>
      </c>
      <c r="G34" s="40" cm="1">
        <f t="array" ref="G34">CR354+DL437</f>
        <v>2</v>
      </c>
      <c r="H34" s="19"/>
      <c r="I34" s="19"/>
      <c r="J34" s="19"/>
      <c r="K34" s="19"/>
    </row>
    <row r="35" ht="30.85" customHeight="1">
      <c r="C35" t="s" s="32">
        <v>155</v>
      </c>
      <c r="D35" s="38">
        <v>0</v>
      </c>
      <c r="E35" s="40">
        <v>0</v>
      </c>
      <c r="F35" s="40">
        <v>0</v>
      </c>
      <c r="G35" s="40" cm="1">
        <f t="array" ref="G35">CR355+DL438</f>
        <v>4</v>
      </c>
      <c r="H35" s="19"/>
      <c r="I35" s="19"/>
      <c r="J35" s="19"/>
      <c r="K35" s="24" cm="1">
        <f t="array" ref="K35">CT355+DN438</f>
        <v>4</v>
      </c>
    </row>
    <row r="36" ht="30.85" customHeight="1">
      <c r="C36" t="s" s="32">
        <v>156</v>
      </c>
      <c r="D36" s="38">
        <v>0</v>
      </c>
      <c r="E36" s="40">
        <v>0</v>
      </c>
      <c r="F36" s="40">
        <v>0</v>
      </c>
      <c r="G36" s="40" cm="1">
        <f t="array" ref="G36">CR358+DL439</f>
        <v>9</v>
      </c>
      <c r="H36" s="19"/>
      <c r="I36" s="19"/>
      <c r="J36" s="19"/>
      <c r="K36" s="19"/>
    </row>
    <row r="37" ht="30.85" customHeight="1">
      <c r="C37" t="s" s="32">
        <v>157</v>
      </c>
      <c r="D37" s="38">
        <v>0</v>
      </c>
      <c r="E37" s="40">
        <v>0</v>
      </c>
      <c r="F37" s="40">
        <v>0</v>
      </c>
      <c r="G37" s="40" cm="1">
        <f t="array" ref="G37">DL440</f>
        <v>1</v>
      </c>
      <c r="H37" s="19"/>
      <c r="I37" s="19"/>
      <c r="J37" s="19"/>
      <c r="K37" s="19"/>
    </row>
    <row r="38" ht="30.85" customHeight="1">
      <c r="C38" t="s" s="32">
        <v>102</v>
      </c>
      <c r="D38" s="38">
        <v>0</v>
      </c>
      <c r="E38" s="40">
        <v>0</v>
      </c>
      <c r="F38" s="40" cm="1">
        <f t="array" ref="F38">'DICIEMBRE 2025'!AK148+'DICIEMBRE 2025'!BW295+'DICIEMBRE 2025'!CF332+'DICIEMBRE 2025'!CY405+'DICIEMBRE 2025'!BD221</f>
        <v>9</v>
      </c>
      <c r="G38" s="40" cm="1">
        <f t="array" ref="G38">AJ121+BD191+BX274+CR358+DL441</f>
        <v>23</v>
      </c>
      <c r="H38" s="19"/>
      <c r="I38" s="19"/>
      <c r="J38" s="19"/>
      <c r="K38" s="19"/>
    </row>
    <row r="39" ht="30.85" customHeight="1">
      <c r="C39" t="s" s="32">
        <v>30</v>
      </c>
      <c r="D39" s="38" cm="1">
        <f t="array" ref="D39">SUM(D3:D31)</f>
        <v>18</v>
      </c>
      <c r="E39" s="40" cm="1">
        <f t="array" ref="E39">SUM(E3:E31)</f>
        <v>94</v>
      </c>
      <c r="F39" s="40" cm="1">
        <f t="array" ref="F39">SUM(F3:F38)</f>
        <v>90</v>
      </c>
      <c r="G39" s="40" cm="1">
        <f t="array" ref="G39">SUM(G3:G38)</f>
        <v>159</v>
      </c>
      <c r="H39" s="40" cm="1">
        <f t="array" ref="H39">SUM(H3:H38)</f>
        <v>0</v>
      </c>
      <c r="I39" s="40" cm="1">
        <f t="array" ref="I39">SUM(I3:I38)</f>
        <v>0</v>
      </c>
      <c r="J39" s="40" cm="1">
        <f t="array" ref="J39">SUM(J3:J38)</f>
        <v>0</v>
      </c>
      <c r="K39" s="40" cm="1">
        <f t="array" ref="K39">SUM(K3:K38)</f>
        <v>10</v>
      </c>
    </row>
    <row r="41" ht="27.65" customHeight="1">
      <c r="L41" t="s" s="2"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0.25" customHeight="1">
      <c r="L42" t="s" s="3">
        <v>1</v>
      </c>
      <c r="M42" s="160"/>
      <c r="N42" t="s" s="3">
        <v>2</v>
      </c>
      <c r="O42" t="s" s="3">
        <v>3</v>
      </c>
      <c r="P42" t="s" s="3">
        <v>4</v>
      </c>
      <c r="Q42" t="s" s="3">
        <v>158</v>
      </c>
      <c r="R42" t="s" s="3">
        <v>159</v>
      </c>
      <c r="S42" t="s" s="3">
        <v>117</v>
      </c>
      <c r="T42" t="s" s="3">
        <v>118</v>
      </c>
      <c r="U42" t="s" s="3">
        <v>119</v>
      </c>
      <c r="V42" t="s" s="3">
        <v>151</v>
      </c>
      <c r="W42" t="s" s="3">
        <v>5</v>
      </c>
      <c r="X42" t="s" s="3">
        <v>6</v>
      </c>
      <c r="Y42" t="s" s="3">
        <v>160</v>
      </c>
      <c r="Z42" t="s" s="3">
        <v>8</v>
      </c>
      <c r="AA42" t="s" s="3">
        <v>9</v>
      </c>
      <c r="AB42" t="s" s="3">
        <v>161</v>
      </c>
    </row>
    <row r="43" ht="25.55" customHeight="1">
      <c r="L43" t="s" s="88">
        <v>10</v>
      </c>
      <c r="M43" s="7">
        <v>1</v>
      </c>
      <c r="N43" t="s" s="9">
        <v>162</v>
      </c>
      <c r="O43" s="89">
        <v>945</v>
      </c>
      <c r="P43" t="s" s="9">
        <v>23</v>
      </c>
      <c r="Q43" s="37"/>
      <c r="R43" s="90">
        <v>945</v>
      </c>
      <c r="S43" s="90">
        <v>945</v>
      </c>
      <c r="T43" s="90">
        <v>945</v>
      </c>
      <c r="U43" s="91">
        <v>0</v>
      </c>
      <c r="V43" s="91">
        <v>0</v>
      </c>
      <c r="W43" t="s" s="9">
        <v>12</v>
      </c>
      <c r="X43" t="s" s="9">
        <v>12</v>
      </c>
      <c r="Y43" t="s" s="9">
        <v>12</v>
      </c>
      <c r="Z43" t="s" s="9">
        <v>14</v>
      </c>
      <c r="AA43" t="s" s="9">
        <v>15</v>
      </c>
      <c r="AB43" s="9"/>
    </row>
    <row r="44" ht="25.35" customHeight="1">
      <c r="L44" t="s" s="11">
        <v>16</v>
      </c>
      <c r="M44" t="s" s="26">
        <v>163</v>
      </c>
      <c r="N44" t="s" s="14">
        <v>162</v>
      </c>
      <c r="O44" s="92">
        <v>945</v>
      </c>
      <c r="P44" t="s" s="14">
        <v>164</v>
      </c>
      <c r="Q44" t="s" s="14">
        <v>165</v>
      </c>
      <c r="R44" s="93">
        <v>945</v>
      </c>
      <c r="S44" s="93">
        <v>945</v>
      </c>
      <c r="T44" s="93">
        <v>945</v>
      </c>
      <c r="U44" s="161">
        <v>0</v>
      </c>
      <c r="V44" s="93">
        <v>4500</v>
      </c>
      <c r="W44" t="s" s="14">
        <v>12</v>
      </c>
      <c r="X44" t="s" s="14">
        <v>12</v>
      </c>
      <c r="Y44" t="s" s="14">
        <v>12</v>
      </c>
      <c r="Z44" t="s" s="14">
        <v>14</v>
      </c>
      <c r="AA44" t="s" s="14">
        <v>15</v>
      </c>
      <c r="AB44" s="14"/>
    </row>
    <row r="45" ht="25.35" customHeight="1">
      <c r="L45" t="s" s="11">
        <v>17</v>
      </c>
      <c r="M45" t="s" s="26">
        <v>166</v>
      </c>
      <c r="N45" t="s" s="14">
        <v>162</v>
      </c>
      <c r="O45" s="92">
        <v>945</v>
      </c>
      <c r="P45" t="s" s="14">
        <v>11</v>
      </c>
      <c r="Q45" s="19"/>
      <c r="R45" s="93">
        <v>945</v>
      </c>
      <c r="S45" s="93">
        <v>945</v>
      </c>
      <c r="T45" s="93">
        <v>945</v>
      </c>
      <c r="U45" s="93">
        <v>945</v>
      </c>
      <c r="V45" s="161">
        <v>0</v>
      </c>
      <c r="W45" t="s" s="14">
        <v>12</v>
      </c>
      <c r="X45" t="s" s="14">
        <v>12</v>
      </c>
      <c r="Y45" t="s" s="14">
        <v>12</v>
      </c>
      <c r="Z45" t="s" s="14">
        <v>14</v>
      </c>
      <c r="AA45" t="s" s="14">
        <v>15</v>
      </c>
      <c r="AB45" s="14"/>
    </row>
    <row r="46" ht="25.35" customHeight="1">
      <c r="L46" t="s" s="11">
        <v>18</v>
      </c>
      <c r="M46" t="s" s="26">
        <v>166</v>
      </c>
      <c r="N46" t="s" s="14">
        <v>162</v>
      </c>
      <c r="O46" s="92">
        <v>945</v>
      </c>
      <c r="P46" t="s" s="14">
        <v>11</v>
      </c>
      <c r="Q46" t="s" s="14">
        <v>167</v>
      </c>
      <c r="R46" s="93">
        <v>945</v>
      </c>
      <c r="S46" s="93">
        <v>945</v>
      </c>
      <c r="T46" s="93">
        <v>945</v>
      </c>
      <c r="U46" s="93">
        <v>945</v>
      </c>
      <c r="V46" s="93">
        <v>945</v>
      </c>
      <c r="W46" t="s" s="14">
        <v>12</v>
      </c>
      <c r="X46" t="s" s="14">
        <v>12</v>
      </c>
      <c r="Y46" t="s" s="14">
        <v>12</v>
      </c>
      <c r="Z46" t="s" s="14">
        <v>14</v>
      </c>
      <c r="AA46" t="s" s="14">
        <v>15</v>
      </c>
      <c r="AB46" s="14"/>
    </row>
    <row r="47" ht="25.35" customHeight="1">
      <c r="L47" t="s" s="11">
        <v>19</v>
      </c>
      <c r="M47" t="s" s="26">
        <v>168</v>
      </c>
      <c r="N47" t="s" s="14">
        <v>162</v>
      </c>
      <c r="O47" s="92">
        <v>995</v>
      </c>
      <c r="P47" t="s" s="14">
        <v>11</v>
      </c>
      <c r="Q47" s="19"/>
      <c r="R47" s="93">
        <v>995</v>
      </c>
      <c r="S47" s="93">
        <v>995</v>
      </c>
      <c r="T47" s="161">
        <v>0</v>
      </c>
      <c r="U47" s="161">
        <v>0</v>
      </c>
      <c r="V47" s="161">
        <v>0</v>
      </c>
      <c r="W47" t="s" s="14">
        <v>12</v>
      </c>
      <c r="X47" t="s" s="14">
        <v>12</v>
      </c>
      <c r="Y47" t="s" s="14">
        <v>12</v>
      </c>
      <c r="Z47" t="s" s="14">
        <v>14</v>
      </c>
      <c r="AA47" t="s" s="14">
        <v>15</v>
      </c>
      <c r="AB47" s="14"/>
    </row>
    <row r="48" ht="25.35" customHeight="1">
      <c r="L48" t="s" s="11">
        <v>20</v>
      </c>
      <c r="M48" t="s" s="26">
        <v>169</v>
      </c>
      <c r="N48" t="s" s="14">
        <v>162</v>
      </c>
      <c r="O48" s="92">
        <v>945</v>
      </c>
      <c r="P48" t="s" s="14">
        <v>11</v>
      </c>
      <c r="Q48" s="19"/>
      <c r="R48" s="93">
        <v>945</v>
      </c>
      <c r="S48" s="93">
        <v>945</v>
      </c>
      <c r="T48" s="93">
        <v>945</v>
      </c>
      <c r="U48" s="161">
        <v>0</v>
      </c>
      <c r="V48" s="161">
        <v>0</v>
      </c>
      <c r="W48" t="s" s="14">
        <v>12</v>
      </c>
      <c r="X48" t="s" s="14">
        <v>12</v>
      </c>
      <c r="Y48" t="s" s="14">
        <v>12</v>
      </c>
      <c r="Z48" t="s" s="14">
        <v>14</v>
      </c>
      <c r="AA48" t="s" s="14">
        <v>15</v>
      </c>
      <c r="AB48" s="14"/>
    </row>
    <row r="49" ht="25.35" customHeight="1">
      <c r="L49" t="s" s="11">
        <v>21</v>
      </c>
      <c r="M49" t="s" s="26">
        <v>170</v>
      </c>
      <c r="N49" t="s" s="14">
        <v>162</v>
      </c>
      <c r="O49" s="92">
        <v>945</v>
      </c>
      <c r="P49" t="s" s="14">
        <v>11</v>
      </c>
      <c r="Q49" s="19"/>
      <c r="R49" s="93">
        <v>945</v>
      </c>
      <c r="S49" s="93">
        <v>945</v>
      </c>
      <c r="T49" s="93">
        <v>945</v>
      </c>
      <c r="U49" s="161">
        <v>0</v>
      </c>
      <c r="V49" s="161">
        <v>0</v>
      </c>
      <c r="W49" t="s" s="14">
        <v>12</v>
      </c>
      <c r="X49" t="s" s="14">
        <v>12</v>
      </c>
      <c r="Y49" t="s" s="14">
        <v>12</v>
      </c>
      <c r="Z49" t="s" s="14">
        <v>14</v>
      </c>
      <c r="AA49" t="s" s="14">
        <v>15</v>
      </c>
      <c r="AB49" s="14"/>
    </row>
    <row r="50" ht="25.35" customHeight="1">
      <c r="L50" t="s" s="95">
        <v>22</v>
      </c>
      <c r="M50" t="s" s="26">
        <v>171</v>
      </c>
      <c r="N50" t="s" s="14">
        <v>162</v>
      </c>
      <c r="O50" s="92">
        <v>945</v>
      </c>
      <c r="P50" t="s" s="14">
        <v>23</v>
      </c>
      <c r="Q50" s="19"/>
      <c r="R50" s="93">
        <v>945</v>
      </c>
      <c r="S50" s="161">
        <v>0</v>
      </c>
      <c r="T50" s="161">
        <v>0</v>
      </c>
      <c r="U50" s="96">
        <v>0</v>
      </c>
      <c r="V50" s="96">
        <v>0</v>
      </c>
      <c r="W50" t="s" s="14">
        <v>12</v>
      </c>
      <c r="X50" t="s" s="14">
        <v>12</v>
      </c>
      <c r="Y50" t="s" s="14">
        <v>12</v>
      </c>
      <c r="Z50" t="s" s="14">
        <v>14</v>
      </c>
      <c r="AA50" t="s" s="14">
        <v>15</v>
      </c>
      <c r="AB50" s="14"/>
    </row>
    <row r="51" ht="25.35" customHeight="1">
      <c r="L51" t="s" s="11">
        <v>24</v>
      </c>
      <c r="M51" t="s" s="26">
        <v>172</v>
      </c>
      <c r="N51" t="s" s="162">
        <v>173</v>
      </c>
      <c r="O51" t="s" s="14">
        <v>25</v>
      </c>
      <c r="P51" t="s" s="14">
        <v>26</v>
      </c>
      <c r="Q51" s="19"/>
      <c r="R51" s="161">
        <v>0</v>
      </c>
      <c r="S51" s="93">
        <v>630</v>
      </c>
      <c r="T51" s="93">
        <v>630</v>
      </c>
      <c r="U51" s="161">
        <v>0</v>
      </c>
      <c r="V51" s="161">
        <v>0</v>
      </c>
      <c r="W51" t="s" s="14">
        <v>13</v>
      </c>
      <c r="X51" t="s" s="14">
        <v>12</v>
      </c>
      <c r="Y51" t="s" s="14">
        <v>13</v>
      </c>
      <c r="Z51" t="s" s="14">
        <v>15</v>
      </c>
      <c r="AA51" t="s" s="14">
        <v>15</v>
      </c>
      <c r="AB51" s="14"/>
    </row>
    <row r="52" ht="25.35" customHeight="1">
      <c r="L52" t="s" s="11">
        <v>27</v>
      </c>
      <c r="M52" t="s" s="26">
        <v>174</v>
      </c>
      <c r="N52" t="s" s="14">
        <v>162</v>
      </c>
      <c r="O52" s="92">
        <v>995</v>
      </c>
      <c r="P52" t="s" s="14">
        <v>11</v>
      </c>
      <c r="Q52" t="s" s="14">
        <v>175</v>
      </c>
      <c r="R52" s="93">
        <v>995</v>
      </c>
      <c r="S52" s="93">
        <v>995</v>
      </c>
      <c r="T52" s="93">
        <v>995</v>
      </c>
      <c r="U52" s="93">
        <v>995</v>
      </c>
      <c r="V52" s="163">
        <v>995</v>
      </c>
      <c r="W52" t="s" s="14">
        <v>12</v>
      </c>
      <c r="X52" t="s" s="14">
        <v>12</v>
      </c>
      <c r="Y52" t="s" s="14">
        <v>12</v>
      </c>
      <c r="Z52" t="s" s="14">
        <v>14</v>
      </c>
      <c r="AA52" t="s" s="14">
        <v>15</v>
      </c>
      <c r="AB52" s="14"/>
    </row>
    <row r="53" ht="25.35" customHeight="1">
      <c r="L53" t="s" s="11">
        <v>28</v>
      </c>
      <c r="M53" t="s" s="26">
        <v>176</v>
      </c>
      <c r="N53" t="s" s="162">
        <v>177</v>
      </c>
      <c r="O53" t="s" s="14">
        <v>25</v>
      </c>
      <c r="P53" t="s" s="14">
        <v>26</v>
      </c>
      <c r="Q53" s="19"/>
      <c r="R53" s="161">
        <v>0</v>
      </c>
      <c r="S53" s="93">
        <v>630</v>
      </c>
      <c r="T53" s="161">
        <v>0</v>
      </c>
      <c r="U53" s="161">
        <v>0</v>
      </c>
      <c r="V53" s="161">
        <v>0</v>
      </c>
      <c r="W53" t="s" s="14">
        <v>13</v>
      </c>
      <c r="X53" t="s" s="14">
        <v>12</v>
      </c>
      <c r="Y53" t="s" s="14">
        <v>13</v>
      </c>
      <c r="Z53" t="s" s="14">
        <v>15</v>
      </c>
      <c r="AA53" t="s" s="14">
        <v>15</v>
      </c>
      <c r="AB53" s="14"/>
    </row>
    <row r="54" ht="25.35" customHeight="1">
      <c r="L54" t="s" s="32">
        <v>109</v>
      </c>
      <c r="M54" t="s" s="26">
        <v>178</v>
      </c>
      <c r="N54" t="s" s="14">
        <v>162</v>
      </c>
      <c r="O54" s="92">
        <v>400</v>
      </c>
      <c r="P54" t="s" s="14">
        <v>6</v>
      </c>
      <c r="Q54" s="19"/>
      <c r="R54" s="161">
        <v>0</v>
      </c>
      <c r="S54" s="161">
        <v>0</v>
      </c>
      <c r="T54" s="161">
        <v>0</v>
      </c>
      <c r="U54" s="93">
        <v>400</v>
      </c>
      <c r="V54" s="161">
        <v>0</v>
      </c>
      <c r="W54" t="s" s="14">
        <v>13</v>
      </c>
      <c r="X54" t="s" s="14">
        <v>12</v>
      </c>
      <c r="Y54" t="s" s="14">
        <v>13</v>
      </c>
      <c r="Z54" t="s" s="14">
        <v>179</v>
      </c>
      <c r="AA54" t="s" s="14">
        <v>179</v>
      </c>
      <c r="AB54" s="14"/>
    </row>
    <row r="55" ht="25.35" customHeight="1">
      <c r="L55" t="s" s="11">
        <v>45</v>
      </c>
      <c r="M55" t="s" s="26">
        <v>180</v>
      </c>
      <c r="N55" s="98">
        <v>250</v>
      </c>
      <c r="O55" s="92">
        <v>995</v>
      </c>
      <c r="P55" t="s" s="14">
        <v>11</v>
      </c>
      <c r="Q55" t="s" s="14">
        <v>181</v>
      </c>
      <c r="R55" t="s" s="164">
        <v>33</v>
      </c>
      <c r="S55" s="27"/>
      <c r="T55" s="27"/>
      <c r="U55" s="27"/>
      <c r="V55" s="93">
        <v>995</v>
      </c>
      <c r="W55" t="s" s="14">
        <v>12</v>
      </c>
      <c r="X55" t="s" s="14">
        <v>12</v>
      </c>
      <c r="Y55" t="s" s="14">
        <v>12</v>
      </c>
      <c r="Z55" t="s" s="14">
        <v>14</v>
      </c>
      <c r="AA55" t="s" s="14">
        <v>15</v>
      </c>
      <c r="AB55" s="14"/>
    </row>
    <row r="56" ht="25.35" customHeight="1">
      <c r="L56" t="s" s="11">
        <v>154</v>
      </c>
      <c r="M56" t="s" s="26">
        <v>182</v>
      </c>
      <c r="N56" s="98">
        <v>500</v>
      </c>
      <c r="O56" s="92">
        <v>995</v>
      </c>
      <c r="P56" t="s" s="14">
        <v>11</v>
      </c>
      <c r="Q56" t="s" s="14">
        <v>183</v>
      </c>
      <c r="R56" s="161">
        <v>0</v>
      </c>
      <c r="S56" s="165"/>
      <c r="T56" s="165"/>
      <c r="U56" s="165"/>
      <c r="V56" s="93">
        <v>995</v>
      </c>
      <c r="W56" t="s" s="14">
        <v>12</v>
      </c>
      <c r="X56" t="s" s="14">
        <v>12</v>
      </c>
      <c r="Y56" t="s" s="14">
        <v>12</v>
      </c>
      <c r="Z56" t="s" s="14">
        <v>14</v>
      </c>
      <c r="AA56" t="s" s="14">
        <v>15</v>
      </c>
      <c r="AB56" s="14"/>
    </row>
    <row r="57" ht="25.35" customHeight="1">
      <c r="L57" t="s" s="11">
        <v>155</v>
      </c>
      <c r="M57" t="s" s="26">
        <v>182</v>
      </c>
      <c r="N57" t="s" s="162">
        <v>177</v>
      </c>
      <c r="O57" s="92">
        <v>3500</v>
      </c>
      <c r="P57" t="s" s="14">
        <v>184</v>
      </c>
      <c r="Q57" t="s" s="14">
        <v>185</v>
      </c>
      <c r="R57" s="161">
        <v>0</v>
      </c>
      <c r="S57" s="165"/>
      <c r="T57" s="165"/>
      <c r="U57" s="165"/>
      <c r="V57" s="93">
        <v>3500</v>
      </c>
      <c r="W57" t="s" s="14">
        <v>12</v>
      </c>
      <c r="X57" t="s" s="14">
        <v>12</v>
      </c>
      <c r="Y57" t="s" s="14">
        <v>12</v>
      </c>
      <c r="Z57" t="s" s="14">
        <v>14</v>
      </c>
      <c r="AA57" t="s" s="14">
        <v>15</v>
      </c>
      <c r="AB57" s="14"/>
    </row>
    <row r="58" ht="20.05" customHeight="1">
      <c r="L58" s="17"/>
      <c r="M58" s="20"/>
      <c r="N58" s="92"/>
      <c r="O58" s="92"/>
      <c r="P58" s="19"/>
      <c r="Q58" s="19"/>
      <c r="R58" s="92"/>
      <c r="S58" s="92"/>
      <c r="T58" s="92"/>
      <c r="U58" s="92"/>
      <c r="V58" s="166"/>
      <c r="W58" s="13"/>
      <c r="X58" s="13"/>
      <c r="Y58" s="13"/>
      <c r="Z58" s="13"/>
      <c r="AA58" s="14"/>
      <c r="AB58" s="14"/>
    </row>
    <row r="59" ht="20.05" customHeight="1">
      <c r="L59" s="17"/>
      <c r="M59" s="20"/>
      <c r="N59" s="92"/>
      <c r="O59" s="92"/>
      <c r="P59" s="19"/>
      <c r="Q59" s="19"/>
      <c r="R59" s="92"/>
      <c r="S59" s="92"/>
      <c r="T59" s="92"/>
      <c r="U59" s="92"/>
      <c r="V59" s="166"/>
      <c r="W59" s="13"/>
      <c r="X59" s="13"/>
      <c r="Y59" s="13"/>
      <c r="Z59" s="13"/>
      <c r="AA59" s="14"/>
      <c r="AB59" s="14"/>
    </row>
    <row r="60" ht="20.05" customHeight="1">
      <c r="L60" s="17"/>
      <c r="M60" s="20"/>
      <c r="N60" s="92"/>
      <c r="O60" s="92"/>
      <c r="P60" s="19"/>
      <c r="Q60" s="19"/>
      <c r="R60" s="92"/>
      <c r="S60" s="92"/>
      <c r="T60" s="92"/>
      <c r="U60" s="92"/>
      <c r="V60" s="166"/>
      <c r="W60" s="13"/>
      <c r="X60" s="13"/>
      <c r="Y60" s="13"/>
      <c r="Z60" s="13"/>
      <c r="AA60" s="14"/>
      <c r="AB60" s="14"/>
    </row>
    <row r="61" ht="20.05" customHeight="1">
      <c r="L61" t="s" s="11">
        <v>30</v>
      </c>
      <c r="M61" s="20"/>
      <c r="N61" s="92"/>
      <c r="O61" s="92"/>
      <c r="P61" s="19"/>
      <c r="Q61" s="19"/>
      <c r="R61" s="92"/>
      <c r="S61" s="92"/>
      <c r="T61" s="92"/>
      <c r="U61" s="93">
        <v>3285</v>
      </c>
      <c r="V61" s="98" cm="1">
        <f t="array" ref="V61">V44+V45+V46+V47+V48+V49+V51+V52+V53+V54+V55+V56+V57+V58+V59+V60</f>
        <v>11930</v>
      </c>
      <c r="W61" s="13"/>
      <c r="X61" s="13"/>
      <c r="Y61" s="13"/>
      <c r="Z61" s="13"/>
      <c r="AA61" s="14"/>
      <c r="AB61" s="14"/>
    </row>
    <row r="62" ht="20.05" customHeight="1">
      <c r="L62" t="s" s="11">
        <v>186</v>
      </c>
      <c r="M62" s="20"/>
      <c r="N62" s="92"/>
      <c r="O62" s="92"/>
      <c r="P62" s="19"/>
      <c r="Q62" s="19"/>
      <c r="R62" s="92"/>
      <c r="S62" s="92"/>
      <c r="T62" s="92"/>
      <c r="U62" s="92"/>
      <c r="V62" s="166"/>
      <c r="W62" s="13"/>
      <c r="X62" s="13"/>
      <c r="Y62" s="13"/>
      <c r="Z62" s="13"/>
      <c r="AA62" s="14"/>
      <c r="AB62" s="14"/>
    </row>
    <row r="63" ht="20.05" customHeight="1">
      <c r="L63" t="s" s="167">
        <v>187</v>
      </c>
      <c r="M63" s="12">
        <v>27</v>
      </c>
      <c r="N63" s="92">
        <v>150</v>
      </c>
      <c r="O63" s="92">
        <v>950</v>
      </c>
      <c r="P63" t="s" s="14">
        <v>11</v>
      </c>
      <c r="Q63" s="19"/>
      <c r="R63" s="93">
        <v>950</v>
      </c>
      <c r="S63" s="161"/>
      <c r="T63" s="161"/>
      <c r="U63" s="161"/>
      <c r="V63" s="161"/>
      <c r="W63" s="19"/>
      <c r="X63" s="19"/>
      <c r="Y63" s="19"/>
      <c r="Z63" s="13"/>
      <c r="AA63" s="14"/>
      <c r="AB63" s="14"/>
    </row>
    <row r="64" ht="20.05" customHeight="1">
      <c r="L64" t="s" s="11">
        <v>110</v>
      </c>
      <c r="M64" s="20"/>
      <c r="N64" s="98" cm="1">
        <f t="array" ref="N64">N55+N56</f>
        <v>750</v>
      </c>
      <c r="O64" s="92"/>
      <c r="P64" s="19"/>
      <c r="Q64" s="19"/>
      <c r="R64" s="98">
        <v>21105</v>
      </c>
      <c r="S64" s="98">
        <v>10460.92</v>
      </c>
      <c r="T64" s="98">
        <v>13550.02</v>
      </c>
      <c r="U64" s="98">
        <v>10055.5</v>
      </c>
      <c r="V64" s="168" cm="1">
        <f t="array" ref="V64">V61+V72+V89+N80+N55+N56+N88+N64</f>
        <v>22062.76</v>
      </c>
      <c r="W64" s="13"/>
      <c r="X64" s="13"/>
      <c r="Y64" s="13"/>
      <c r="Z64" s="13"/>
      <c r="AA64" s="14"/>
      <c r="AB64" s="14"/>
    </row>
    <row r="65" ht="20.05" customHeight="1">
      <c r="L65" t="s" s="11">
        <v>111</v>
      </c>
      <c r="M65" s="20"/>
      <c r="N65" s="92"/>
      <c r="O65" s="98" cm="1">
        <f t="array" ref="O65">R64+S64+T64+U64+V64</f>
        <v>77234.2</v>
      </c>
      <c r="P65" s="19"/>
      <c r="Q65" s="19"/>
      <c r="R65" s="92"/>
      <c r="S65" s="92"/>
      <c r="T65" s="92"/>
      <c r="U65" s="13"/>
      <c r="V65" s="169"/>
      <c r="W65" s="13"/>
      <c r="X65" s="13"/>
      <c r="Y65" s="13"/>
      <c r="Z65" s="13"/>
      <c r="AA65" s="14"/>
      <c r="AB65" s="14"/>
    </row>
    <row r="66" ht="20.05" customHeight="1">
      <c r="L66" t="s" s="11">
        <v>23</v>
      </c>
      <c r="M66" t="s" s="26">
        <v>36</v>
      </c>
      <c r="N66" s="27"/>
      <c r="O66" s="27"/>
      <c r="P66" s="27"/>
      <c r="Q66" s="27"/>
      <c r="R66" s="27"/>
      <c r="S66" s="27"/>
      <c r="T66" s="27"/>
      <c r="U66" s="27"/>
      <c r="V66" s="48"/>
      <c r="W66" s="19"/>
      <c r="X66" s="19"/>
      <c r="Y66" s="19"/>
      <c r="Z66" s="19"/>
      <c r="AA66" s="14"/>
      <c r="AB66" s="14"/>
    </row>
    <row r="67" ht="20.05" customHeight="1">
      <c r="L67" t="s" s="95">
        <v>35</v>
      </c>
      <c r="M67" s="99"/>
      <c r="N67" t="s" s="100">
        <v>38</v>
      </c>
      <c r="O67" s="96">
        <v>171.82</v>
      </c>
      <c r="P67" s="96"/>
      <c r="Q67" s="96"/>
      <c r="R67" s="101"/>
      <c r="S67" s="161"/>
      <c r="T67" s="161"/>
      <c r="U67" s="103" cm="1">
        <f t="array" ref="U67">'DICIEMBRE 2025'!R54*O67</f>
        <v>515.46</v>
      </c>
      <c r="V67" s="98" cm="1">
        <f t="array" ref="V67">O67*G5</f>
        <v>1202.74</v>
      </c>
      <c r="W67" s="19"/>
      <c r="X67" s="19"/>
      <c r="Y67" s="19"/>
      <c r="Z67" s="19"/>
      <c r="AA67" t="s" s="14">
        <v>23</v>
      </c>
      <c r="AB67" s="14"/>
    </row>
    <row r="68" ht="20.05" customHeight="1">
      <c r="L68" t="s" s="95">
        <v>10</v>
      </c>
      <c r="M68" s="99"/>
      <c r="N68" t="s" s="100">
        <v>38</v>
      </c>
      <c r="O68" s="96">
        <v>171.82</v>
      </c>
      <c r="P68" s="96"/>
      <c r="Q68" s="96"/>
      <c r="R68" s="101"/>
      <c r="S68" s="161"/>
      <c r="T68" s="161"/>
      <c r="U68" s="98" cm="1">
        <f t="array" ref="U68">O68*'DICIEMBRE 2025'!R53</f>
        <v>1890.02</v>
      </c>
      <c r="V68" s="98">
        <v>1890</v>
      </c>
      <c r="W68" s="19"/>
      <c r="X68" s="19"/>
      <c r="Y68" s="19"/>
      <c r="Z68" t="s" s="14">
        <v>14</v>
      </c>
      <c r="AA68" t="s" s="14">
        <v>23</v>
      </c>
      <c r="AB68" s="14"/>
    </row>
    <row r="69" ht="20.05" customHeight="1">
      <c r="L69" t="s" s="95">
        <v>37</v>
      </c>
      <c r="M69" s="99"/>
      <c r="N69" t="s" s="100">
        <v>38</v>
      </c>
      <c r="O69" s="96">
        <v>171.82</v>
      </c>
      <c r="P69" s="96"/>
      <c r="Q69" s="96"/>
      <c r="R69" t="s" s="25">
        <v>25</v>
      </c>
      <c r="S69" s="98" cm="1">
        <f t="array" ref="S69">O69*'DICIEMBRE 2025'!P61</f>
        <v>1030.92</v>
      </c>
      <c r="T69" s="98" cm="1">
        <f t="array" ref="T69">O69*'DICIEMBRE 2025'!Q61</f>
        <v>1890.02</v>
      </c>
      <c r="U69" s="98" cm="1">
        <f t="array" ref="U69">O69*'DICIEMBRE 2025'!R61</f>
        <v>1890.02</v>
      </c>
      <c r="V69" s="98" cm="1">
        <f t="array" ref="V69">O69*G7</f>
        <v>1890.02</v>
      </c>
      <c r="W69" s="19"/>
      <c r="X69" s="19"/>
      <c r="Y69" s="19"/>
      <c r="Z69" s="19"/>
      <c r="AA69" t="s" s="14">
        <v>23</v>
      </c>
      <c r="AB69" s="14"/>
    </row>
    <row r="70" ht="20.05" customHeight="1">
      <c r="L70" t="s" s="95">
        <v>112</v>
      </c>
      <c r="M70" s="99"/>
      <c r="N70" t="s" s="100">
        <v>38</v>
      </c>
      <c r="O70" s="96">
        <v>171.82</v>
      </c>
      <c r="P70" s="96"/>
      <c r="Q70" s="96"/>
      <c r="R70" s="104"/>
      <c r="S70" s="161"/>
      <c r="T70" s="161"/>
      <c r="U70" s="94" cm="1">
        <f t="array" ref="U70">O70*'DICIEMBRE 2025'!R78</f>
        <v>0</v>
      </c>
      <c r="V70" s="98" cm="1">
        <f t="array" ref="V70">O70*G8</f>
        <v>0</v>
      </c>
      <c r="W70" s="19"/>
      <c r="X70" s="19"/>
      <c r="Y70" s="19"/>
      <c r="Z70" s="19"/>
      <c r="AA70" t="s" s="14">
        <v>23</v>
      </c>
      <c r="AB70" s="14"/>
    </row>
    <row r="71" ht="20.05" customHeight="1">
      <c r="L71" t="s" s="95">
        <v>113</v>
      </c>
      <c r="M71" s="99"/>
      <c r="N71" t="s" s="100">
        <v>38</v>
      </c>
      <c r="O71" s="96">
        <v>171.82</v>
      </c>
      <c r="P71" s="96"/>
      <c r="Q71" s="96"/>
      <c r="R71" s="104"/>
      <c r="S71" s="161"/>
      <c r="T71" s="161"/>
      <c r="U71" s="94" cm="1">
        <f t="array" ref="U71">O71*'DICIEMBRE 2025'!R79</f>
        <v>0</v>
      </c>
      <c r="V71" s="98" cm="1">
        <f t="array" ref="V71">O71*G9</f>
        <v>0</v>
      </c>
      <c r="W71" s="19"/>
      <c r="X71" s="19"/>
      <c r="Y71" s="19"/>
      <c r="Z71" s="19"/>
      <c r="AA71" s="14"/>
      <c r="AB71" s="14"/>
    </row>
    <row r="72" ht="20.05" customHeight="1">
      <c r="L72" t="s" s="95">
        <v>114</v>
      </c>
      <c r="M72" s="106"/>
      <c r="N72" s="27"/>
      <c r="O72" s="27"/>
      <c r="P72" s="27"/>
      <c r="Q72" s="170"/>
      <c r="R72" s="104"/>
      <c r="S72" s="107">
        <v>1030.92</v>
      </c>
      <c r="T72" s="98">
        <v>1890.02</v>
      </c>
      <c r="U72" s="98" cm="1">
        <f t="array" ref="U72">U67+U68+U69+U70+U71</f>
        <v>4295.5</v>
      </c>
      <c r="V72" s="98" cm="1">
        <f t="array" ref="V72">V67+V68+V69+V70+V71</f>
        <v>4982.76</v>
      </c>
      <c r="W72" s="19"/>
      <c r="X72" s="19"/>
      <c r="Y72" s="19"/>
      <c r="Z72" s="19"/>
      <c r="AA72" t="s" s="14">
        <v>23</v>
      </c>
      <c r="AB72" s="14"/>
    </row>
    <row r="73" ht="20.05" customHeight="1">
      <c r="L73" t="s" s="11">
        <v>41</v>
      </c>
      <c r="M73" s="20"/>
      <c r="N73" t="s" s="14">
        <v>33</v>
      </c>
      <c r="O73" s="92">
        <v>50</v>
      </c>
      <c r="P73" s="19"/>
      <c r="Q73" s="19"/>
      <c r="R73" t="s" s="25">
        <v>25</v>
      </c>
      <c r="S73" s="98" cm="1">
        <f t="array" ref="S73">P73*O73</f>
        <v>0</v>
      </c>
      <c r="T73" s="98" cm="1">
        <f t="array" ref="T73">O73*'DICIEMBRE 2025'!Q64</f>
        <v>50</v>
      </c>
      <c r="U73" s="94">
        <v>0</v>
      </c>
      <c r="V73" s="101"/>
      <c r="W73" s="19"/>
      <c r="X73" s="19"/>
      <c r="Y73" s="19"/>
      <c r="Z73" s="19"/>
      <c r="AA73" s="14"/>
      <c r="AB73" s="14"/>
    </row>
    <row r="74" ht="20.05" customHeight="1">
      <c r="L74" t="s" s="11">
        <v>42</v>
      </c>
      <c r="M74" s="20"/>
      <c r="N74" t="s" s="14">
        <v>33</v>
      </c>
      <c r="O74" s="92">
        <v>50</v>
      </c>
      <c r="P74" s="19"/>
      <c r="Q74" s="19"/>
      <c r="R74" t="s" s="25">
        <v>25</v>
      </c>
      <c r="S74" s="98" cm="1">
        <f t="array" ref="S74">P74*O74</f>
        <v>0</v>
      </c>
      <c r="T74" s="94" cm="1">
        <f t="array" ref="T74">O74*'DICIEMBRE 2025'!Q62</f>
        <v>350</v>
      </c>
      <c r="U74" s="94">
        <v>0</v>
      </c>
      <c r="V74" s="101"/>
      <c r="W74" s="19"/>
      <c r="X74" s="19"/>
      <c r="Y74" s="19"/>
      <c r="Z74" t="s" s="14">
        <v>15</v>
      </c>
      <c r="AA74" t="s" s="14">
        <v>34</v>
      </c>
      <c r="AB74" s="14"/>
    </row>
    <row r="75" ht="20.05" customHeight="1">
      <c r="L75" t="s" s="11">
        <v>43</v>
      </c>
      <c r="M75" s="20"/>
      <c r="N75" t="s" s="14">
        <v>33</v>
      </c>
      <c r="O75" s="92">
        <v>50</v>
      </c>
      <c r="P75" s="19"/>
      <c r="Q75" s="19"/>
      <c r="R75" t="s" s="25">
        <v>25</v>
      </c>
      <c r="S75" s="98" cm="1">
        <f t="array" ref="S75">P75*O75</f>
        <v>0</v>
      </c>
      <c r="T75" s="98" cm="1">
        <f t="array" ref="T75">O75*'DICIEMBRE 2025'!Q63</f>
        <v>0</v>
      </c>
      <c r="U75" s="94">
        <v>0</v>
      </c>
      <c r="V75" s="101"/>
      <c r="W75" s="19"/>
      <c r="X75" s="19"/>
      <c r="Y75" s="19"/>
      <c r="Z75" t="s" s="14">
        <v>15</v>
      </c>
      <c r="AA75" t="s" s="14">
        <v>34</v>
      </c>
      <c r="AB75" s="14"/>
    </row>
    <row r="76" ht="20.05" customHeight="1">
      <c r="L76" t="s" s="11">
        <v>32</v>
      </c>
      <c r="M76" t="s" s="171">
        <v>163</v>
      </c>
      <c r="N76" t="s" s="14">
        <v>33</v>
      </c>
      <c r="O76" s="92">
        <v>50</v>
      </c>
      <c r="P76" t="s" s="14">
        <v>188</v>
      </c>
      <c r="Q76" t="s" s="14">
        <v>189</v>
      </c>
      <c r="R76" s="98">
        <v>300</v>
      </c>
      <c r="S76" s="98">
        <v>150</v>
      </c>
      <c r="T76" s="98" cm="1">
        <f t="array" ref="T76">O76*'DICIEMBRE 2025'!Q65</f>
        <v>50</v>
      </c>
      <c r="U76" s="94">
        <v>0</v>
      </c>
      <c r="V76" s="98">
        <v>500</v>
      </c>
      <c r="W76" s="19"/>
      <c r="X76" s="19"/>
      <c r="Y76" s="19"/>
      <c r="Z76" t="s" s="14">
        <v>15</v>
      </c>
      <c r="AA76" t="s" s="14">
        <v>34</v>
      </c>
      <c r="AB76" t="s" s="14">
        <v>190</v>
      </c>
    </row>
    <row r="77" ht="20.05" customHeight="1">
      <c r="L77" s="17"/>
      <c r="M77" s="20"/>
      <c r="N77" t="s" s="14">
        <v>33</v>
      </c>
      <c r="O77" s="92">
        <v>70</v>
      </c>
      <c r="P77" t="s" s="59">
        <v>33</v>
      </c>
      <c r="Q77" s="19"/>
      <c r="R77" t="s" s="25">
        <v>25</v>
      </c>
      <c r="S77" s="98">
        <v>210</v>
      </c>
      <c r="T77" s="98" cm="1">
        <f t="array" ref="T77">O77*'DICIEMBRE 2025'!Q53</f>
        <v>630</v>
      </c>
      <c r="U77" s="94">
        <v>0</v>
      </c>
      <c r="V77" s="101"/>
      <c r="W77" s="13"/>
      <c r="X77" s="13"/>
      <c r="Y77" s="13"/>
      <c r="Z77" t="s" s="14">
        <v>14</v>
      </c>
      <c r="AA77" t="s" s="14">
        <v>34</v>
      </c>
      <c r="AB77" s="14"/>
    </row>
    <row r="78" ht="20.05" customHeight="1">
      <c r="L78" t="s" s="172">
        <v>45</v>
      </c>
      <c r="M78" s="173"/>
      <c r="N78" t="s" s="59">
        <v>33</v>
      </c>
      <c r="O78" s="166">
        <v>75</v>
      </c>
      <c r="P78" t="s" s="59">
        <v>33</v>
      </c>
      <c r="Q78" s="48"/>
      <c r="R78" t="s" s="25">
        <v>25</v>
      </c>
      <c r="S78" s="101"/>
      <c r="T78" s="98" cm="1">
        <f t="array" ref="T78">O78*'DICIEMBRE 2025'!Q68</f>
        <v>75</v>
      </c>
      <c r="U78" s="98">
        <v>525</v>
      </c>
      <c r="V78" s="98">
        <v>375</v>
      </c>
      <c r="W78" s="169"/>
      <c r="X78" s="169"/>
      <c r="Y78" s="169"/>
      <c r="Z78" s="169"/>
      <c r="AA78" s="59"/>
      <c r="AB78" s="59"/>
    </row>
    <row r="79" ht="20.05" customHeight="1">
      <c r="L79" t="s" s="172">
        <v>46</v>
      </c>
      <c r="M79" s="173"/>
      <c r="N79" t="s" s="59">
        <v>33</v>
      </c>
      <c r="O79" s="166">
        <v>75</v>
      </c>
      <c r="P79" t="s" s="59">
        <v>33</v>
      </c>
      <c r="Q79" s="48"/>
      <c r="R79" t="s" s="25">
        <v>25</v>
      </c>
      <c r="S79" s="101"/>
      <c r="T79" s="98" cm="1">
        <f t="array" ref="T79">O79*'DICIEMBRE 2025'!Q69</f>
        <v>150</v>
      </c>
      <c r="U79" s="98">
        <v>375</v>
      </c>
      <c r="V79" s="98" cm="1">
        <f t="array" ref="V79">G24*O79</f>
        <v>600</v>
      </c>
      <c r="W79" s="48"/>
      <c r="X79" s="48"/>
      <c r="Y79" s="48"/>
      <c r="Z79" t="s" s="59">
        <v>15</v>
      </c>
      <c r="AA79" t="s" s="59">
        <v>34</v>
      </c>
      <c r="AB79" s="59"/>
    </row>
    <row r="80" ht="20.05" customHeight="1">
      <c r="L80" t="s" s="172">
        <v>191</v>
      </c>
      <c r="M80" t="s" s="174">
        <v>192</v>
      </c>
      <c r="N80" s="98">
        <v>250</v>
      </c>
      <c r="O80" s="92">
        <v>75</v>
      </c>
      <c r="P80" t="s" s="59">
        <v>33</v>
      </c>
      <c r="Q80" s="48"/>
      <c r="R80" s="104"/>
      <c r="S80" s="101"/>
      <c r="T80" s="98" cm="1">
        <f t="array" ref="T80">O80*'DICIEMBRE 2025'!Q70</f>
        <v>150</v>
      </c>
      <c r="U80" s="98"/>
      <c r="V80" s="98" cm="1">
        <f t="array" ref="V80">G25*O80</f>
        <v>450</v>
      </c>
      <c r="W80" s="48"/>
      <c r="X80" s="48"/>
      <c r="Y80" s="48"/>
      <c r="Z80" s="48"/>
      <c r="AA80" s="59"/>
      <c r="AB80" s="59"/>
    </row>
    <row r="81" ht="20.05" customHeight="1">
      <c r="L81" t="s" s="32">
        <v>47</v>
      </c>
      <c r="M81" t="s" s="171">
        <v>193</v>
      </c>
      <c r="N81" t="s" s="59">
        <v>33</v>
      </c>
      <c r="O81" s="92">
        <v>75</v>
      </c>
      <c r="P81" t="s" s="59">
        <v>33</v>
      </c>
      <c r="Q81" s="19"/>
      <c r="R81" t="s" s="25">
        <v>25</v>
      </c>
      <c r="S81" s="101"/>
      <c r="T81" s="98" cm="1">
        <f t="array" ref="T81">O81*'DICIEMBRE 2025'!Q70</f>
        <v>150</v>
      </c>
      <c r="U81" s="98">
        <v>375</v>
      </c>
      <c r="V81" s="98" cm="1">
        <f t="array" ref="V81">G26*O81</f>
        <v>0</v>
      </c>
      <c r="W81" s="48"/>
      <c r="X81" s="48"/>
      <c r="Y81" s="48"/>
      <c r="Z81" t="s" s="59">
        <v>15</v>
      </c>
      <c r="AA81" t="s" s="59">
        <v>34</v>
      </c>
      <c r="AB81" s="59"/>
    </row>
    <row r="82" ht="20.05" customHeight="1">
      <c r="L82" t="s" s="32">
        <v>48</v>
      </c>
      <c r="M82" t="s" s="171">
        <v>194</v>
      </c>
      <c r="N82" t="s" s="59">
        <v>33</v>
      </c>
      <c r="O82" s="92">
        <v>75</v>
      </c>
      <c r="P82" t="s" s="59">
        <v>33</v>
      </c>
      <c r="Q82" s="19"/>
      <c r="R82" t="s" s="25">
        <v>25</v>
      </c>
      <c r="S82" s="101"/>
      <c r="T82" s="98" cm="1">
        <f t="array" ref="T82">O82*'DICIEMBRE 2025'!Q71</f>
        <v>450</v>
      </c>
      <c r="U82" s="98">
        <v>600</v>
      </c>
      <c r="V82" s="98" cm="1">
        <f t="array" ref="V82">O82*G27</f>
        <v>375</v>
      </c>
      <c r="W82" s="19"/>
      <c r="X82" s="19"/>
      <c r="Y82" s="19"/>
      <c r="Z82" s="19"/>
      <c r="AA82" s="14"/>
      <c r="AB82" s="14"/>
    </row>
    <row r="83" ht="20.05" customHeight="1">
      <c r="L83" t="s" s="32">
        <v>49</v>
      </c>
      <c r="M83" t="s" s="171">
        <v>194</v>
      </c>
      <c r="N83" t="s" s="59">
        <v>33</v>
      </c>
      <c r="O83" s="92">
        <v>75</v>
      </c>
      <c r="P83" t="s" s="59">
        <v>33</v>
      </c>
      <c r="Q83" s="19"/>
      <c r="R83" t="s" s="25">
        <v>25</v>
      </c>
      <c r="S83" s="101"/>
      <c r="T83" s="98" cm="1">
        <f t="array" ref="T83">O83*'DICIEMBRE 2025'!Q72</f>
        <v>675</v>
      </c>
      <c r="U83" s="98">
        <v>375</v>
      </c>
      <c r="V83" s="98" cm="1">
        <f t="array" ref="V83">O83*G28</f>
        <v>300</v>
      </c>
      <c r="W83" s="19"/>
      <c r="X83" s="19"/>
      <c r="Y83" s="19"/>
      <c r="Z83" t="s" s="14">
        <v>15</v>
      </c>
      <c r="AA83" t="s" s="14">
        <v>34</v>
      </c>
      <c r="AB83" s="14"/>
    </row>
    <row r="84" ht="20.05" customHeight="1">
      <c r="L84" t="s" s="32">
        <v>50</v>
      </c>
      <c r="M84" t="s" s="171">
        <v>195</v>
      </c>
      <c r="N84" t="s" s="59">
        <v>33</v>
      </c>
      <c r="O84" s="92">
        <v>75</v>
      </c>
      <c r="P84" t="s" s="59">
        <v>33</v>
      </c>
      <c r="Q84" s="19"/>
      <c r="R84" t="s" s="25">
        <v>25</v>
      </c>
      <c r="S84" s="101"/>
      <c r="T84" s="98" cm="1">
        <f t="array" ref="T84">O84*'DICIEMBRE 2025'!Q73</f>
        <v>525</v>
      </c>
      <c r="U84" s="94">
        <v>0</v>
      </c>
      <c r="V84" s="175"/>
      <c r="W84" s="19"/>
      <c r="X84" s="19"/>
      <c r="Y84" s="19"/>
      <c r="Z84" t="s" s="14">
        <v>15</v>
      </c>
      <c r="AA84" t="s" s="14">
        <v>34</v>
      </c>
      <c r="AB84" s="14"/>
    </row>
    <row r="85" ht="20.05" customHeight="1">
      <c r="L85" t="s" s="32">
        <v>51</v>
      </c>
      <c r="M85" t="s" s="171">
        <v>195</v>
      </c>
      <c r="N85" t="s" s="59">
        <v>33</v>
      </c>
      <c r="O85" s="92">
        <v>75</v>
      </c>
      <c r="P85" t="s" s="59">
        <v>33</v>
      </c>
      <c r="Q85" s="19"/>
      <c r="R85" t="s" s="25">
        <v>25</v>
      </c>
      <c r="S85" s="101"/>
      <c r="T85" s="98" cm="1">
        <f t="array" ref="T85">O85*'DICIEMBRE 2025'!Q74</f>
        <v>75</v>
      </c>
      <c r="U85" s="94">
        <v>0</v>
      </c>
      <c r="V85" s="175"/>
      <c r="W85" s="19"/>
      <c r="X85" s="19"/>
      <c r="Y85" s="19"/>
      <c r="Z85" t="s" s="14">
        <v>15</v>
      </c>
      <c r="AA85" t="s" s="14">
        <v>34</v>
      </c>
      <c r="AB85" s="14"/>
    </row>
    <row r="86" ht="20.05" customHeight="1">
      <c r="L86" t="s" s="32">
        <v>52</v>
      </c>
      <c r="M86" t="s" s="171">
        <v>195</v>
      </c>
      <c r="N86" t="s" s="59">
        <v>33</v>
      </c>
      <c r="O86" s="92">
        <v>75</v>
      </c>
      <c r="P86" t="s" s="59">
        <v>33</v>
      </c>
      <c r="Q86" s="19"/>
      <c r="R86" t="s" s="25">
        <v>25</v>
      </c>
      <c r="S86" s="104"/>
      <c r="T86" s="98" cm="1">
        <f t="array" ref="T86">O86*'DICIEMBRE 2025'!Q75</f>
        <v>75</v>
      </c>
      <c r="U86" s="94">
        <v>0</v>
      </c>
      <c r="V86" s="175"/>
      <c r="W86" s="19"/>
      <c r="X86" s="19"/>
      <c r="Y86" s="19"/>
      <c r="Z86" t="s" s="14">
        <v>15</v>
      </c>
      <c r="AA86" t="s" s="14">
        <v>34</v>
      </c>
      <c r="AB86" s="14"/>
    </row>
    <row r="87" ht="20.05" customHeight="1">
      <c r="L87" t="s" s="32">
        <v>115</v>
      </c>
      <c r="M87" t="s" s="171">
        <v>195</v>
      </c>
      <c r="N87" t="s" s="14">
        <v>196</v>
      </c>
      <c r="O87" s="92">
        <v>75</v>
      </c>
      <c r="P87" t="s" s="59">
        <v>33</v>
      </c>
      <c r="Q87" s="19"/>
      <c r="R87" t="s" s="25">
        <v>25</v>
      </c>
      <c r="S87" s="104"/>
      <c r="T87" s="176" cm="1">
        <f t="array" ref="T87">O87*'DICIEMBRE 2025'!Q80</f>
        <v>0</v>
      </c>
      <c r="U87" s="98" cm="1">
        <f t="array" ref="U87">225</f>
        <v>225</v>
      </c>
      <c r="V87" s="98" cm="1">
        <f t="array" ref="V87">O87*G32</f>
        <v>300</v>
      </c>
      <c r="W87" s="19"/>
      <c r="X87" s="19"/>
      <c r="Y87" s="19"/>
      <c r="Z87" t="s" s="14">
        <v>15</v>
      </c>
      <c r="AA87" t="s" s="14">
        <v>34</v>
      </c>
      <c r="AB87" s="14"/>
    </row>
    <row r="88" ht="20.05" customHeight="1">
      <c r="L88" t="s" s="32">
        <v>197</v>
      </c>
      <c r="M88" t="s" s="171">
        <v>198</v>
      </c>
      <c r="N88" s="98">
        <v>500</v>
      </c>
      <c r="O88" s="92">
        <v>75</v>
      </c>
      <c r="P88" t="s" s="59">
        <v>33</v>
      </c>
      <c r="Q88" s="19"/>
      <c r="R88" s="104"/>
      <c r="S88" s="104"/>
      <c r="T88" s="176"/>
      <c r="U88" s="161"/>
      <c r="V88" s="161"/>
      <c r="W88" s="19"/>
      <c r="X88" s="19"/>
      <c r="Y88" s="19"/>
      <c r="Z88" s="19"/>
      <c r="AA88" s="14"/>
      <c r="AB88" s="14"/>
    </row>
    <row r="89" ht="20.05" customHeight="1">
      <c r="L89" t="s" s="32">
        <v>116</v>
      </c>
      <c r="M89" s="112"/>
      <c r="N89" s="27"/>
      <c r="O89" s="27"/>
      <c r="P89" s="27"/>
      <c r="Q89" s="177"/>
      <c r="R89" t="s" s="25">
        <v>25</v>
      </c>
      <c r="S89" s="98">
        <v>510</v>
      </c>
      <c r="T89" s="98">
        <v>2565</v>
      </c>
      <c r="U89" s="98">
        <v>2475</v>
      </c>
      <c r="V89" s="98" cm="1">
        <f t="array" ref="V89">V73+V74+V75+V76+V77+V78+V79+V81+V82+V83+V84+V85+V86+V87+V80</f>
        <v>2900</v>
      </c>
      <c r="W89" s="19"/>
      <c r="X89" s="19"/>
      <c r="Y89" s="19"/>
      <c r="Z89" s="19"/>
      <c r="AA89" s="14"/>
      <c r="AB89" s="14"/>
    </row>
    <row r="91" ht="27.65" customHeight="1">
      <c r="AC91" t="s" s="2">
        <v>72</v>
      </c>
      <c r="AD91" s="2"/>
      <c r="AE91" s="2"/>
      <c r="AF91" s="2"/>
      <c r="AG91" s="2"/>
      <c r="AH91" s="2"/>
      <c r="AI91" s="2"/>
      <c r="AJ91" s="2"/>
      <c r="AK91" s="2"/>
      <c r="AL91" s="2"/>
    </row>
    <row r="92" ht="29.5" customHeight="1">
      <c r="AC92" s="35"/>
      <c r="AD92" t="s" s="179">
        <v>199</v>
      </c>
      <c r="AE92" s="4"/>
      <c r="AF92" s="4"/>
      <c r="AG92" t="s" s="3">
        <v>200</v>
      </c>
      <c r="AH92" t="s" s="3">
        <v>201</v>
      </c>
      <c r="AI92" t="s" s="3">
        <v>202</v>
      </c>
      <c r="AJ92" t="s" s="3">
        <v>53</v>
      </c>
      <c r="AK92" t="s" s="3">
        <v>67</v>
      </c>
      <c r="AL92" t="s" s="3">
        <v>160</v>
      </c>
    </row>
    <row r="93" ht="29.5" customHeight="1">
      <c r="AC93" t="s" s="6">
        <v>55</v>
      </c>
      <c r="AD93" s="42"/>
      <c r="AE93" s="43"/>
      <c r="AF93" s="43"/>
      <c r="AG93" s="149"/>
      <c r="AH93" s="123"/>
      <c r="AI93" s="123"/>
      <c r="AJ93" s="47" cm="1">
        <f t="array" ref="AJ93">SUM(AD93:AI93)</f>
        <v>0</v>
      </c>
      <c r="AK93" s="37"/>
      <c r="AL93" s="37"/>
    </row>
    <row r="94" ht="29.2" customHeight="1">
      <c r="AC94" t="s" s="11">
        <v>56</v>
      </c>
      <c r="AD94" s="20"/>
      <c r="AE94" s="27"/>
      <c r="AF94" s="27"/>
      <c r="AG94" s="27"/>
      <c r="AH94" s="48"/>
      <c r="AI94" s="48"/>
      <c r="AJ94" s="24" cm="1">
        <f t="array" ref="AJ94">SUM(AD94:AI94)</f>
        <v>0</v>
      </c>
      <c r="AK94" s="19"/>
      <c r="AL94" s="19"/>
    </row>
    <row r="95" ht="29.2" customHeight="1">
      <c r="AC95" t="s" s="95">
        <v>35</v>
      </c>
      <c r="AD95" s="20"/>
      <c r="AE95" s="27"/>
      <c r="AF95" s="27"/>
      <c r="AG95" s="27"/>
      <c r="AH95" s="133">
        <v>2</v>
      </c>
      <c r="AI95" s="48"/>
      <c r="AJ95" s="24" cm="1">
        <f t="array" ref="AJ95">SUM(AD95:AI95)</f>
        <v>2</v>
      </c>
      <c r="AK95" s="19"/>
      <c r="AL95" s="19"/>
    </row>
    <row r="96" ht="29.2" customHeight="1">
      <c r="AC96" t="s" s="11">
        <v>16</v>
      </c>
      <c r="AD96" s="20"/>
      <c r="AE96" s="27"/>
      <c r="AF96" s="27"/>
      <c r="AG96" s="27"/>
      <c r="AH96" s="48"/>
      <c r="AI96" s="48"/>
      <c r="AJ96" s="24" cm="1">
        <f t="array" ref="AJ96">SUM(AD96:AI96)</f>
        <v>0</v>
      </c>
      <c r="AK96" s="19"/>
      <c r="AL96" s="19"/>
    </row>
    <row r="97" ht="46.65" customHeight="1">
      <c r="AC97" t="s" s="11">
        <v>17</v>
      </c>
      <c r="AD97" s="20"/>
      <c r="AE97" s="27"/>
      <c r="AF97" s="27"/>
      <c r="AG97" s="27"/>
      <c r="AH97" s="48"/>
      <c r="AI97" s="48"/>
      <c r="AJ97" s="24" cm="1">
        <f t="array" ref="AJ97">SUM(AD97:AI97)</f>
        <v>0</v>
      </c>
      <c r="AK97" s="19"/>
      <c r="AL97" s="19"/>
    </row>
    <row r="98" ht="29.2" customHeight="1">
      <c r="AC98" t="s" s="11">
        <v>18</v>
      </c>
      <c r="AD98" s="20"/>
      <c r="AE98" s="27"/>
      <c r="AF98" s="27"/>
      <c r="AG98" s="27"/>
      <c r="AH98" s="48"/>
      <c r="AI98" s="48"/>
      <c r="AJ98" s="24" cm="1">
        <f t="array" ref="AJ98">SUM(AD98:AI98)</f>
        <v>0</v>
      </c>
      <c r="AK98" s="19"/>
      <c r="AL98" s="24">
        <v>1</v>
      </c>
    </row>
    <row r="99" ht="29.2" customHeight="1">
      <c r="AC99" t="s" s="11">
        <v>19</v>
      </c>
      <c r="AD99" s="20"/>
      <c r="AE99" s="27"/>
      <c r="AF99" s="27"/>
      <c r="AG99" s="27"/>
      <c r="AH99" s="48"/>
      <c r="AI99" s="48"/>
      <c r="AJ99" s="24" cm="1">
        <f t="array" ref="AJ99">SUM(AD99:AI99)</f>
        <v>0</v>
      </c>
      <c r="AK99" s="19"/>
      <c r="AL99" s="19"/>
    </row>
    <row r="100" ht="29.2" customHeight="1">
      <c r="AC100" t="s" s="11">
        <v>20</v>
      </c>
      <c r="AD100" s="20"/>
      <c r="AE100" s="27"/>
      <c r="AF100" s="27"/>
      <c r="AG100" s="27"/>
      <c r="AH100" s="48"/>
      <c r="AI100" s="48"/>
      <c r="AJ100" s="24" cm="1">
        <f t="array" ref="AJ100">SUM(AD100:AI100)</f>
        <v>0</v>
      </c>
      <c r="AK100" s="19"/>
      <c r="AL100" s="19"/>
    </row>
    <row r="101" ht="29.2" customHeight="1">
      <c r="AC101" t="s" s="11">
        <v>21</v>
      </c>
      <c r="AD101" s="20"/>
      <c r="AE101" s="27"/>
      <c r="AF101" s="27"/>
      <c r="AG101" s="27"/>
      <c r="AH101" s="48"/>
      <c r="AI101" s="48"/>
      <c r="AJ101" s="24" cm="1">
        <f t="array" ref="AJ101">SUM(AD101:AI101)</f>
        <v>0</v>
      </c>
      <c r="AK101" s="19"/>
      <c r="AL101" s="19"/>
    </row>
    <row r="102" ht="29.2" customHeight="1">
      <c r="AC102" t="s" s="11">
        <v>27</v>
      </c>
      <c r="AD102" s="20"/>
      <c r="AE102" s="27"/>
      <c r="AF102" s="27"/>
      <c r="AG102" s="27"/>
      <c r="AH102" s="48"/>
      <c r="AI102" s="48"/>
      <c r="AJ102" s="24" cm="1">
        <f t="array" ref="AJ102">SUM(AD102:AI102)</f>
        <v>0</v>
      </c>
      <c r="AK102" s="19"/>
      <c r="AL102" s="19"/>
    </row>
    <row r="103" ht="29.2" customHeight="1">
      <c r="AC103" t="s" s="11">
        <v>42</v>
      </c>
      <c r="AD103" s="20"/>
      <c r="AE103" s="27"/>
      <c r="AF103" s="27"/>
      <c r="AG103" s="27"/>
      <c r="AH103" s="48"/>
      <c r="AI103" s="48"/>
      <c r="AJ103" s="24" cm="1">
        <f t="array" ref="AJ103">SUM(AD103:AI103)</f>
        <v>0</v>
      </c>
      <c r="AK103" s="19"/>
      <c r="AL103" s="19"/>
    </row>
    <row r="104" ht="29.2" customHeight="1">
      <c r="AC104" t="s" s="11">
        <v>43</v>
      </c>
      <c r="AD104" s="20"/>
      <c r="AE104" s="27"/>
      <c r="AF104" s="27"/>
      <c r="AG104" s="27"/>
      <c r="AH104" s="48"/>
      <c r="AI104" s="48"/>
      <c r="AJ104" s="24" cm="1">
        <f t="array" ref="AJ104">SUM(AD104:AI104)</f>
        <v>0</v>
      </c>
      <c r="AK104" s="19"/>
      <c r="AL104" s="19"/>
    </row>
    <row r="105" ht="29.2" customHeight="1">
      <c r="AC105" t="s" s="11">
        <v>41</v>
      </c>
      <c r="AD105" s="20"/>
      <c r="AE105" s="27"/>
      <c r="AF105" s="27"/>
      <c r="AG105" s="27"/>
      <c r="AH105" s="48"/>
      <c r="AI105" s="48"/>
      <c r="AJ105" s="24" cm="1">
        <f t="array" ref="AJ105">SUM(AD105:AI105)</f>
        <v>0</v>
      </c>
      <c r="AK105" s="19"/>
      <c r="AL105" s="19"/>
    </row>
    <row r="106" ht="29.2" customHeight="1">
      <c r="AC106" t="s" s="11">
        <v>32</v>
      </c>
      <c r="AD106" s="20"/>
      <c r="AE106" s="27"/>
      <c r="AF106" s="27"/>
      <c r="AG106" s="27"/>
      <c r="AH106" s="48"/>
      <c r="AI106" s="48"/>
      <c r="AJ106" s="24" cm="1">
        <f t="array" ref="AJ106">SUM(AD106:AI106)</f>
        <v>0</v>
      </c>
      <c r="AK106" s="19"/>
      <c r="AL106" s="19"/>
    </row>
    <row r="107" ht="25.2" customHeight="1">
      <c r="AC107" t="s" s="32">
        <v>50</v>
      </c>
      <c r="AD107" s="20"/>
      <c r="AE107" s="27"/>
      <c r="AF107" s="27"/>
      <c r="AG107" s="27"/>
      <c r="AH107" s="48"/>
      <c r="AI107" s="48"/>
      <c r="AJ107" s="24" cm="1">
        <f t="array" ref="AJ107">SUM(AD107:AI107)</f>
        <v>0</v>
      </c>
      <c r="AK107" s="19"/>
      <c r="AL107" s="19"/>
    </row>
    <row r="108" ht="29.2" customHeight="1">
      <c r="AC108" t="s" s="32">
        <v>52</v>
      </c>
      <c r="AD108" s="20"/>
      <c r="AE108" s="27"/>
      <c r="AF108" s="27"/>
      <c r="AG108" s="27"/>
      <c r="AH108" s="48"/>
      <c r="AI108" s="48"/>
      <c r="AJ108" s="24" cm="1">
        <f t="array" ref="AJ108">SUM(AD108:AI108)</f>
        <v>0</v>
      </c>
      <c r="AK108" s="19"/>
      <c r="AL108" s="19"/>
    </row>
    <row r="109" ht="29.2" customHeight="1">
      <c r="AC109" t="s" s="32">
        <v>51</v>
      </c>
      <c r="AD109" s="20"/>
      <c r="AE109" s="27"/>
      <c r="AF109" s="27"/>
      <c r="AG109" s="27"/>
      <c r="AH109" s="48"/>
      <c r="AI109" s="48"/>
      <c r="AJ109" s="24" cm="1">
        <f t="array" ref="AJ109">SUM(AD109:AI109)</f>
        <v>0</v>
      </c>
      <c r="AK109" s="19"/>
      <c r="AL109" s="19"/>
    </row>
    <row r="110" ht="29.2" customHeight="1">
      <c r="AC110" t="s" s="95">
        <v>22</v>
      </c>
      <c r="AD110" s="20"/>
      <c r="AE110" s="27"/>
      <c r="AF110" s="27"/>
      <c r="AG110" s="27"/>
      <c r="AH110" s="48"/>
      <c r="AI110" s="48"/>
      <c r="AJ110" s="24" cm="1">
        <f t="array" ref="AJ110">SUM(AD110:AI110)</f>
        <v>0</v>
      </c>
      <c r="AK110" s="48"/>
      <c r="AL110" s="48"/>
    </row>
    <row r="111" ht="27.2" customHeight="1">
      <c r="AC111" t="s" s="95">
        <v>10</v>
      </c>
      <c r="AD111" s="20"/>
      <c r="AE111" s="27"/>
      <c r="AF111" s="27"/>
      <c r="AG111" s="27"/>
      <c r="AH111" s="48"/>
      <c r="AI111" s="133">
        <v>2</v>
      </c>
      <c r="AJ111" s="24" cm="1">
        <f t="array" ref="AJ111">SUM(AD111:AI111)</f>
        <v>2</v>
      </c>
      <c r="AK111" s="48"/>
      <c r="AL111" s="48"/>
    </row>
    <row r="112" ht="29.2" customHeight="1">
      <c r="AC112" t="s" s="44">
        <v>70</v>
      </c>
      <c r="AD112" s="20"/>
      <c r="AE112" s="27"/>
      <c r="AF112" s="27"/>
      <c r="AG112" s="27"/>
      <c r="AH112" s="48"/>
      <c r="AI112" s="48"/>
      <c r="AJ112" s="24" cm="1">
        <f t="array" ref="AJ112">SUM(AD112:AI112)</f>
        <v>0</v>
      </c>
      <c r="AK112" s="48"/>
      <c r="AL112" s="48"/>
    </row>
    <row r="113" ht="29.2" customHeight="1">
      <c r="AC113" t="s" s="44">
        <v>58</v>
      </c>
      <c r="AD113" s="20"/>
      <c r="AE113" s="27"/>
      <c r="AF113" s="27"/>
      <c r="AG113" s="27"/>
      <c r="AH113" s="48"/>
      <c r="AI113" s="48"/>
      <c r="AJ113" s="24" cm="1">
        <f t="array" ref="AJ113">SUM(AD113:AI113)</f>
        <v>0</v>
      </c>
      <c r="AK113" s="19"/>
      <c r="AL113" s="19"/>
    </row>
    <row r="114" ht="29.2" customHeight="1">
      <c r="AC114" t="s" s="44">
        <v>59</v>
      </c>
      <c r="AD114" s="20"/>
      <c r="AE114" s="27"/>
      <c r="AF114" s="27"/>
      <c r="AG114" s="27"/>
      <c r="AH114" s="48"/>
      <c r="AI114" s="48"/>
      <c r="AJ114" s="24" cm="1">
        <f t="array" ref="AJ114">SUM(AD114:AI114)</f>
        <v>0</v>
      </c>
      <c r="AK114" s="19"/>
      <c r="AL114" s="19"/>
    </row>
    <row r="115" ht="29.2" customHeight="1">
      <c r="AC115" t="s" s="44">
        <v>45</v>
      </c>
      <c r="AD115" s="20"/>
      <c r="AE115" s="27"/>
      <c r="AF115" s="27"/>
      <c r="AG115" s="27"/>
      <c r="AH115" s="48"/>
      <c r="AI115" s="48"/>
      <c r="AJ115" s="24" cm="1">
        <f t="array" ref="AJ115">SUM(AD115:AI115)</f>
        <v>0</v>
      </c>
      <c r="AK115" s="19"/>
      <c r="AL115" s="19"/>
    </row>
    <row r="116" ht="29.2" customHeight="1">
      <c r="AC116" t="s" s="44">
        <v>46</v>
      </c>
      <c r="AD116" s="20"/>
      <c r="AE116" s="27"/>
      <c r="AF116" s="27"/>
      <c r="AG116" s="27"/>
      <c r="AH116" s="48"/>
      <c r="AI116" s="48"/>
      <c r="AJ116" s="24" cm="1">
        <f t="array" ref="AJ116">SUM(AD116:AI116)</f>
        <v>0</v>
      </c>
      <c r="AK116" s="19"/>
      <c r="AL116" s="19"/>
    </row>
    <row r="117" ht="29.2" customHeight="1">
      <c r="AC117" t="s" s="44">
        <v>91</v>
      </c>
      <c r="AD117" s="20"/>
      <c r="AE117" s="27"/>
      <c r="AF117" s="27"/>
      <c r="AG117" s="27"/>
      <c r="AH117" s="48"/>
      <c r="AI117" s="48"/>
      <c r="AJ117" s="24" cm="1">
        <f t="array" ref="AJ117">SUM(AD117:AI117)</f>
        <v>0</v>
      </c>
      <c r="AK117" s="19"/>
      <c r="AL117" s="19"/>
    </row>
    <row r="118" ht="29.2" customHeight="1">
      <c r="AC118" t="s" s="44">
        <v>48</v>
      </c>
      <c r="AD118" s="20"/>
      <c r="AE118" s="27"/>
      <c r="AF118" s="27"/>
      <c r="AG118" s="27"/>
      <c r="AH118" s="48"/>
      <c r="AI118" s="48"/>
      <c r="AJ118" s="24" cm="1">
        <f t="array" ref="AJ118">SUM(AD118:AI118)</f>
        <v>0</v>
      </c>
      <c r="AK118" s="19"/>
      <c r="AL118" s="19"/>
    </row>
    <row r="119" ht="29.2" customHeight="1">
      <c r="AC119" t="s" s="44">
        <v>49</v>
      </c>
      <c r="AD119" s="20"/>
      <c r="AE119" s="27"/>
      <c r="AF119" s="27"/>
      <c r="AG119" s="27"/>
      <c r="AH119" s="48"/>
      <c r="AI119" s="48"/>
      <c r="AJ119" s="24" cm="1">
        <f t="array" ref="AJ119">SUM(AD119:AI119)</f>
        <v>0</v>
      </c>
      <c r="AK119" s="19"/>
      <c r="AL119" s="19"/>
    </row>
    <row r="120" ht="29.2" customHeight="1">
      <c r="AC120" t="s" s="44">
        <v>101</v>
      </c>
      <c r="AD120" s="20"/>
      <c r="AE120" s="27"/>
      <c r="AF120" s="27"/>
      <c r="AG120" s="27"/>
      <c r="AH120" s="48"/>
      <c r="AI120" s="48"/>
      <c r="AJ120" s="24" cm="1">
        <f t="array" ref="AJ120">SUM(AD120:AI120)</f>
        <v>0</v>
      </c>
      <c r="AK120" s="19"/>
      <c r="AL120" s="19"/>
    </row>
    <row r="121" ht="29.2" customHeight="1">
      <c r="AC121" t="s" s="32">
        <v>102</v>
      </c>
      <c r="AD121" s="20"/>
      <c r="AE121" s="27"/>
      <c r="AF121" s="27"/>
      <c r="AG121" s="27"/>
      <c r="AH121" s="48"/>
      <c r="AI121" s="48"/>
      <c r="AJ121" s="24" cm="1">
        <f t="array" ref="AJ121">SUM(AD121:AI121)</f>
        <v>0</v>
      </c>
      <c r="AK121" s="19"/>
      <c r="AL121" s="19"/>
    </row>
    <row r="122" ht="29.2" customHeight="1">
      <c r="AC122" t="s" s="49">
        <v>30</v>
      </c>
      <c r="AD122" s="18"/>
      <c r="AE122" s="19"/>
      <c r="AF122" s="19"/>
      <c r="AG122" s="19"/>
      <c r="AH122" s="24" cm="1">
        <f t="array" ref="AH122">SUM(AH93:AH121)</f>
        <v>2</v>
      </c>
      <c r="AI122" s="24" cm="1">
        <f t="array" ref="AI122">SUM(AI93:AI121)</f>
        <v>2</v>
      </c>
      <c r="AJ122" s="24" cm="1">
        <f t="array" ref="AJ122">AD122+AE122+AF122+AG122+AH122+AI122</f>
        <v>4</v>
      </c>
      <c r="AK122" s="19"/>
      <c r="AL122" s="19"/>
    </row>
    <row r="124" ht="27.65" customHeight="1">
      <c r="AM124" t="s" s="2">
        <v>60</v>
      </c>
      <c r="AN124" s="2"/>
      <c r="AO124" s="2"/>
      <c r="AP124" s="2"/>
      <c r="AQ124" s="2"/>
      <c r="AR124" s="2"/>
      <c r="AS124" s="2"/>
      <c r="AT124" s="2"/>
      <c r="AU124" s="2"/>
      <c r="AV124" s="2"/>
    </row>
    <row r="125" ht="44.5" customHeight="1">
      <c r="AM125" s="35"/>
      <c r="AN125" t="s" s="179">
        <v>199</v>
      </c>
      <c r="AO125" s="4"/>
      <c r="AP125" s="4"/>
      <c r="AQ125" t="s" s="3">
        <v>200</v>
      </c>
      <c r="AR125" t="s" s="3">
        <v>201</v>
      </c>
      <c r="AS125" t="s" s="3">
        <v>202</v>
      </c>
      <c r="AT125" t="s" s="3">
        <v>67</v>
      </c>
      <c r="AU125" t="s" s="3">
        <v>68</v>
      </c>
      <c r="AV125" t="s" s="3">
        <v>69</v>
      </c>
    </row>
    <row r="126" ht="27.95" customHeight="1">
      <c r="AM126" t="s" s="6">
        <v>55</v>
      </c>
      <c r="AN126" s="42"/>
      <c r="AO126" s="43"/>
      <c r="AP126" s="43"/>
      <c r="AQ126" s="149"/>
      <c r="AR126" s="123"/>
      <c r="AS126" s="123"/>
      <c r="AT126" s="123"/>
      <c r="AU126" s="37"/>
      <c r="AV126" s="37"/>
    </row>
    <row r="127" ht="27.7" customHeight="1">
      <c r="AM127" t="s" s="11">
        <v>56</v>
      </c>
      <c r="AN127" s="20"/>
      <c r="AO127" s="27"/>
      <c r="AP127" s="27"/>
      <c r="AQ127" s="27"/>
      <c r="AR127" s="48"/>
      <c r="AS127" s="48"/>
      <c r="AT127" s="48"/>
      <c r="AU127" s="19"/>
      <c r="AV127" s="19"/>
    </row>
    <row r="128" ht="27.7" customHeight="1">
      <c r="AM128" t="s" s="95">
        <v>35</v>
      </c>
      <c r="AN128" s="20"/>
      <c r="AO128" s="27"/>
      <c r="AP128" s="27"/>
      <c r="AQ128" s="27"/>
      <c r="AR128" s="181"/>
      <c r="AS128" s="48"/>
      <c r="AT128" s="48"/>
      <c r="AU128" s="19"/>
      <c r="AV128" s="19"/>
    </row>
    <row r="129" ht="27.7" customHeight="1">
      <c r="AM129" t="s" s="11">
        <v>16</v>
      </c>
      <c r="AN129" s="20"/>
      <c r="AO129" s="27"/>
      <c r="AP129" s="27"/>
      <c r="AQ129" s="27"/>
      <c r="AR129" s="48"/>
      <c r="AS129" s="48"/>
      <c r="AT129" s="48"/>
      <c r="AU129" s="19"/>
      <c r="AV129" s="19"/>
    </row>
    <row r="130" ht="27.7" customHeight="1">
      <c r="AM130" t="s" s="11">
        <v>17</v>
      </c>
      <c r="AN130" s="20"/>
      <c r="AO130" s="27"/>
      <c r="AP130" s="27"/>
      <c r="AQ130" s="27"/>
      <c r="AR130" s="48"/>
      <c r="AS130" s="48"/>
      <c r="AT130" s="48"/>
      <c r="AU130" s="19"/>
      <c r="AV130" s="19"/>
    </row>
    <row r="131" ht="44.25" customHeight="1">
      <c r="AM131" t="s" s="11">
        <v>18</v>
      </c>
      <c r="AN131" s="20"/>
      <c r="AO131" s="27"/>
      <c r="AP131" s="27"/>
      <c r="AQ131" s="27"/>
      <c r="AR131" s="48"/>
      <c r="AS131" s="48"/>
      <c r="AT131" s="48"/>
      <c r="AU131" s="19"/>
      <c r="AV131" s="19"/>
    </row>
    <row r="132" ht="27.7" customHeight="1">
      <c r="AM132" t="s" s="11">
        <v>19</v>
      </c>
      <c r="AN132" s="20"/>
      <c r="AO132" s="27"/>
      <c r="AP132" s="27"/>
      <c r="AQ132" s="27"/>
      <c r="AR132" s="48"/>
      <c r="AS132" s="48"/>
      <c r="AT132" s="48"/>
      <c r="AU132" s="19"/>
      <c r="AV132" s="19"/>
    </row>
    <row r="133" ht="27.7" customHeight="1">
      <c r="AM133" t="s" s="11">
        <v>20</v>
      </c>
      <c r="AN133" s="20"/>
      <c r="AO133" s="27"/>
      <c r="AP133" s="27"/>
      <c r="AQ133" s="27"/>
      <c r="AR133" s="48"/>
      <c r="AS133" s="48"/>
      <c r="AT133" s="48"/>
      <c r="AU133" s="19"/>
      <c r="AV133" s="19"/>
    </row>
    <row r="134" ht="27.7" customHeight="1">
      <c r="AM134" t="s" s="11">
        <v>21</v>
      </c>
      <c r="AN134" s="20"/>
      <c r="AO134" s="27"/>
      <c r="AP134" s="27"/>
      <c r="AQ134" s="27"/>
      <c r="AR134" s="48"/>
      <c r="AS134" s="48"/>
      <c r="AT134" s="48"/>
      <c r="AU134" s="19"/>
      <c r="AV134" s="19"/>
    </row>
    <row r="135" ht="27.7" customHeight="1">
      <c r="AM135" t="s" s="11">
        <v>27</v>
      </c>
      <c r="AN135" s="20"/>
      <c r="AO135" s="27"/>
      <c r="AP135" s="27"/>
      <c r="AQ135" s="27"/>
      <c r="AR135" s="48"/>
      <c r="AS135" s="48"/>
      <c r="AT135" s="78"/>
      <c r="AU135" s="27"/>
      <c r="AV135" s="27"/>
    </row>
    <row r="136" ht="27.7" customHeight="1">
      <c r="AM136" t="s" s="11">
        <v>42</v>
      </c>
      <c r="AN136" s="20"/>
      <c r="AO136" s="27"/>
      <c r="AP136" s="27"/>
      <c r="AQ136" s="27"/>
      <c r="AR136" s="48"/>
      <c r="AS136" s="48"/>
      <c r="AT136" s="48"/>
      <c r="AU136" s="19"/>
      <c r="AV136" s="19"/>
    </row>
    <row r="137" ht="27.7" customHeight="1">
      <c r="AM137" t="s" s="11">
        <v>43</v>
      </c>
      <c r="AN137" s="20"/>
      <c r="AO137" s="27"/>
      <c r="AP137" s="27"/>
      <c r="AQ137" s="27"/>
      <c r="AR137" s="48"/>
      <c r="AS137" s="48"/>
      <c r="AT137" s="48"/>
      <c r="AU137" s="19"/>
      <c r="AV137" s="19"/>
    </row>
    <row r="138" ht="27.7" customHeight="1">
      <c r="AM138" t="s" s="11">
        <v>41</v>
      </c>
      <c r="AN138" s="20"/>
      <c r="AO138" s="27"/>
      <c r="AP138" s="27"/>
      <c r="AQ138" s="27"/>
      <c r="AR138" s="48"/>
      <c r="AS138" s="48"/>
      <c r="AT138" s="48"/>
      <c r="AU138" s="19"/>
      <c r="AV138" s="19"/>
    </row>
    <row r="139" ht="27.7" customHeight="1">
      <c r="AM139" t="s" s="11">
        <v>32</v>
      </c>
      <c r="AN139" s="20"/>
      <c r="AO139" s="27"/>
      <c r="AP139" s="27"/>
      <c r="AQ139" s="27"/>
      <c r="AR139" s="48"/>
      <c r="AS139" s="48"/>
      <c r="AT139" s="48"/>
      <c r="AU139" s="19"/>
      <c r="AV139" s="19"/>
    </row>
    <row r="140" ht="27.7" customHeight="1">
      <c r="AM140" t="s" s="64">
        <v>50</v>
      </c>
      <c r="AN140" s="20"/>
      <c r="AO140" s="27"/>
      <c r="AP140" s="27"/>
      <c r="AQ140" s="27"/>
      <c r="AR140" s="48"/>
      <c r="AS140" s="48"/>
      <c r="AT140" s="48"/>
      <c r="AU140" s="19"/>
      <c r="AV140" s="19"/>
    </row>
    <row r="141" ht="27.7" customHeight="1">
      <c r="AM141" t="s" s="64">
        <v>52</v>
      </c>
      <c r="AN141" s="20"/>
      <c r="AO141" s="27"/>
      <c r="AP141" s="27"/>
      <c r="AQ141" s="27"/>
      <c r="AR141" s="48"/>
      <c r="AS141" s="48"/>
      <c r="AT141" s="48"/>
      <c r="AU141" s="19"/>
      <c r="AV141" s="19"/>
    </row>
    <row r="142" ht="27.7" customHeight="1">
      <c r="AM142" t="s" s="64">
        <v>51</v>
      </c>
      <c r="AN142" s="20"/>
      <c r="AO142" s="27"/>
      <c r="AP142" s="27"/>
      <c r="AQ142" s="27"/>
      <c r="AR142" s="48"/>
      <c r="AS142" s="48"/>
      <c r="AT142" s="48"/>
      <c r="AU142" s="19"/>
      <c r="AV142" s="19"/>
    </row>
    <row r="143" ht="27.7" customHeight="1">
      <c r="AM143" t="s" s="95">
        <v>22</v>
      </c>
      <c r="AN143" s="20"/>
      <c r="AO143" s="27"/>
      <c r="AP143" s="27"/>
      <c r="AQ143" s="27"/>
      <c r="AR143" s="48"/>
      <c r="AS143" s="48"/>
      <c r="AT143" s="48"/>
      <c r="AU143" s="19"/>
      <c r="AV143" s="19"/>
    </row>
    <row r="144" ht="27.7" customHeight="1">
      <c r="AM144" t="s" s="95">
        <v>10</v>
      </c>
      <c r="AN144" s="20"/>
      <c r="AO144" s="27"/>
      <c r="AP144" s="27"/>
      <c r="AQ144" s="27"/>
      <c r="AR144" s="48"/>
      <c r="AS144" s="181"/>
      <c r="AT144" s="48"/>
      <c r="AU144" s="19"/>
      <c r="AV144" s="19"/>
    </row>
    <row r="145" ht="27.7" customHeight="1">
      <c r="AM145" t="s" s="44">
        <v>70</v>
      </c>
      <c r="AN145" s="20"/>
      <c r="AO145" s="27"/>
      <c r="AP145" s="27"/>
      <c r="AQ145" s="27"/>
      <c r="AR145" s="48"/>
      <c r="AS145" s="48"/>
      <c r="AT145" s="48"/>
      <c r="AU145" s="19"/>
      <c r="AV145" s="19"/>
    </row>
    <row r="146" ht="40.7" customHeight="1">
      <c r="AM146" t="s" s="44">
        <v>58</v>
      </c>
      <c r="AN146" s="20"/>
      <c r="AO146" s="27"/>
      <c r="AP146" s="27"/>
      <c r="AQ146" s="27"/>
      <c r="AR146" s="48"/>
      <c r="AS146" s="48"/>
      <c r="AT146" s="48"/>
      <c r="AU146" s="19"/>
      <c r="AV146" s="19"/>
    </row>
    <row r="147" ht="44.2" customHeight="1">
      <c r="AM147" t="s" s="44">
        <v>59</v>
      </c>
      <c r="AN147" s="20"/>
      <c r="AO147" s="27"/>
      <c r="AP147" s="27"/>
      <c r="AQ147" s="27"/>
      <c r="AR147" s="48"/>
      <c r="AS147" s="48"/>
      <c r="AT147" s="78"/>
      <c r="AU147" s="27"/>
      <c r="AV147" s="27"/>
    </row>
    <row r="148" ht="27.7" customHeight="1">
      <c r="AM148" t="s" s="44">
        <v>45</v>
      </c>
      <c r="AN148" s="20"/>
      <c r="AO148" s="27"/>
      <c r="AP148" s="27"/>
      <c r="AQ148" s="27"/>
      <c r="AR148" s="48"/>
      <c r="AS148" s="48"/>
      <c r="AT148" s="48"/>
      <c r="AU148" s="19"/>
      <c r="AV148" s="19"/>
    </row>
    <row r="149" ht="27.7" customHeight="1">
      <c r="AM149" t="s" s="44">
        <v>46</v>
      </c>
      <c r="AN149" s="20"/>
      <c r="AO149" s="27"/>
      <c r="AP149" s="27"/>
      <c r="AQ149" s="27"/>
      <c r="AR149" s="48"/>
      <c r="AS149" s="48"/>
      <c r="AT149" s="48"/>
      <c r="AU149" s="19"/>
      <c r="AV149" s="19"/>
    </row>
    <row r="150" ht="27.7" customHeight="1">
      <c r="AM150" t="s" s="64">
        <v>91</v>
      </c>
      <c r="AN150" s="20"/>
      <c r="AO150" s="27"/>
      <c r="AP150" s="27"/>
      <c r="AQ150" s="27"/>
      <c r="AR150" s="48"/>
      <c r="AS150" s="48"/>
      <c r="AT150" s="48"/>
      <c r="AU150" s="19"/>
      <c r="AV150" s="19"/>
    </row>
    <row r="151" ht="27.7" customHeight="1">
      <c r="AM151" t="s" s="21">
        <v>48</v>
      </c>
      <c r="AN151" s="20"/>
      <c r="AO151" s="27"/>
      <c r="AP151" s="27"/>
      <c r="AQ151" s="27"/>
      <c r="AR151" s="48"/>
      <c r="AS151" s="48"/>
      <c r="AT151" s="48"/>
      <c r="AU151" s="19"/>
      <c r="AV151" s="19"/>
    </row>
    <row r="152" ht="27.7" customHeight="1">
      <c r="AM152" t="s" s="21">
        <v>49</v>
      </c>
      <c r="AN152" s="20"/>
      <c r="AO152" s="27"/>
      <c r="AP152" s="27"/>
      <c r="AQ152" s="27"/>
      <c r="AR152" s="48"/>
      <c r="AS152" s="48"/>
      <c r="AT152" s="48"/>
      <c r="AU152" s="19"/>
      <c r="AV152" s="19"/>
    </row>
    <row r="153" ht="27.7" customHeight="1">
      <c r="AM153" t="s" s="44">
        <v>101</v>
      </c>
      <c r="AN153" s="20"/>
      <c r="AO153" s="27"/>
      <c r="AP153" s="27"/>
      <c r="AQ153" s="27"/>
      <c r="AR153" s="48"/>
      <c r="AS153" s="48"/>
      <c r="AT153" s="48"/>
      <c r="AU153" s="19"/>
      <c r="AV153" s="19"/>
    </row>
    <row r="154" ht="27.7" customHeight="1">
      <c r="AM154" t="s" s="32">
        <v>109</v>
      </c>
      <c r="AN154" s="20"/>
      <c r="AO154" s="27"/>
      <c r="AP154" s="27"/>
      <c r="AQ154" s="27"/>
      <c r="AR154" s="48"/>
      <c r="AS154" s="48"/>
      <c r="AT154" s="19"/>
      <c r="AU154" s="19"/>
      <c r="AV154" s="128"/>
    </row>
    <row r="155" ht="27.7" customHeight="1">
      <c r="AM155" t="s" s="32">
        <v>102</v>
      </c>
      <c r="AN155" s="20"/>
      <c r="AO155" s="27"/>
      <c r="AP155" s="27"/>
      <c r="AQ155" s="27"/>
      <c r="AR155" s="48"/>
      <c r="AS155" s="48"/>
      <c r="AT155" s="19"/>
      <c r="AU155" s="19"/>
      <c r="AV155" s="128"/>
    </row>
    <row r="156" ht="27.7" customHeight="1">
      <c r="AM156" t="s" s="49">
        <v>30</v>
      </c>
      <c r="AN156" s="18"/>
      <c r="AO156" s="19"/>
      <c r="AP156" s="19"/>
      <c r="AQ156" s="19"/>
      <c r="AR156" s="24" cm="1">
        <f t="array" ref="AR156">AH122</f>
        <v>2</v>
      </c>
      <c r="AS156" s="24" cm="1">
        <f t="array" ref="AS156">AI122</f>
        <v>2</v>
      </c>
      <c r="AT156" s="19"/>
      <c r="AU156" s="19"/>
      <c r="AV156" s="19"/>
    </row>
    <row r="158" ht="27.65" customHeight="1">
      <c r="AW158" t="s" s="2">
        <v>76</v>
      </c>
      <c r="AX158" s="2"/>
      <c r="AY158" s="2"/>
      <c r="AZ158" s="2"/>
      <c r="BA158" s="2"/>
      <c r="BB158" s="2"/>
      <c r="BC158" s="2"/>
      <c r="BD158" s="2"/>
      <c r="BE158" s="2"/>
      <c r="BF158" s="2"/>
    </row>
    <row r="159" ht="36" customHeight="1">
      <c r="AW159" s="35"/>
      <c r="AX159" t="s" s="3">
        <v>203</v>
      </c>
      <c r="AY159" t="s" s="3">
        <v>204</v>
      </c>
      <c r="AZ159" t="s" s="3">
        <v>205</v>
      </c>
      <c r="BA159" t="s" s="3">
        <v>206</v>
      </c>
      <c r="BB159" t="s" s="3">
        <v>207</v>
      </c>
      <c r="BC159" t="s" s="3">
        <v>208</v>
      </c>
      <c r="BD159" t="s" s="3">
        <v>53</v>
      </c>
      <c r="BE159" t="s" s="3">
        <v>67</v>
      </c>
      <c r="BF159" t="s" s="3">
        <v>160</v>
      </c>
    </row>
    <row r="160" ht="22.6" customHeight="1">
      <c r="AW160" t="s" s="6">
        <v>55</v>
      </c>
      <c r="AX160" s="136"/>
      <c r="AY160" s="123"/>
      <c r="AZ160" s="123"/>
      <c r="BA160" s="123"/>
      <c r="BB160" s="123"/>
      <c r="BC160" s="123"/>
      <c r="BD160" s="47" cm="1">
        <f t="array" ref="BD160">SUM(AX160:BC160)</f>
        <v>0</v>
      </c>
      <c r="BE160" s="37"/>
      <c r="BF160" s="37"/>
    </row>
    <row r="161" ht="22.4" customHeight="1">
      <c r="AW161" t="s" s="11">
        <v>56</v>
      </c>
      <c r="AX161" s="55"/>
      <c r="AY161" s="48"/>
      <c r="AZ161" s="48"/>
      <c r="BA161" s="48"/>
      <c r="BB161" s="48"/>
      <c r="BC161" s="48"/>
      <c r="BD161" s="24" cm="1">
        <f t="array" ref="BD161">SUM(AX161:BC161)</f>
        <v>0</v>
      </c>
      <c r="BE161" s="19"/>
      <c r="BF161" s="19"/>
    </row>
    <row r="162" ht="22.4" customHeight="1">
      <c r="AW162" t="s" s="95">
        <v>35</v>
      </c>
      <c r="AX162" s="134">
        <v>1</v>
      </c>
      <c r="AY162" s="133">
        <v>1</v>
      </c>
      <c r="AZ162" s="48"/>
      <c r="BA162" s="48"/>
      <c r="BB162" s="133">
        <v>1</v>
      </c>
      <c r="BC162" s="48"/>
      <c r="BD162" s="24" cm="1">
        <f t="array" ref="BD162">SUM(AX162:BC162)</f>
        <v>3</v>
      </c>
      <c r="BE162" s="19"/>
      <c r="BF162" s="19"/>
    </row>
    <row r="163" ht="22.4" customHeight="1">
      <c r="AW163" t="s" s="11">
        <v>16</v>
      </c>
      <c r="AX163" s="55"/>
      <c r="AY163" s="48"/>
      <c r="AZ163" s="48"/>
      <c r="BA163" s="48"/>
      <c r="BB163" s="48"/>
      <c r="BC163" s="48"/>
      <c r="BD163" s="24" cm="1">
        <f t="array" ref="BD163">SUM(AX163:BC163)</f>
        <v>0</v>
      </c>
      <c r="BE163" s="19"/>
      <c r="BF163" s="19"/>
    </row>
    <row r="164" ht="22.4" customHeight="1">
      <c r="AW164" t="s" s="11">
        <v>17</v>
      </c>
      <c r="AX164" s="55"/>
      <c r="AY164" s="48"/>
      <c r="AZ164" s="48"/>
      <c r="BA164" s="48"/>
      <c r="BB164" s="48"/>
      <c r="BC164" s="48"/>
      <c r="BD164" s="24" cm="1">
        <f t="array" ref="BD164">SUM(AX164:BC164)</f>
        <v>0</v>
      </c>
      <c r="BE164" s="19"/>
      <c r="BF164" s="19"/>
    </row>
    <row r="165" ht="22.4" customHeight="1">
      <c r="AW165" t="s" s="11">
        <v>18</v>
      </c>
      <c r="AX165" s="53">
        <v>1</v>
      </c>
      <c r="AY165" s="82">
        <v>1</v>
      </c>
      <c r="AZ165" s="48"/>
      <c r="BA165" s="82">
        <v>1</v>
      </c>
      <c r="BB165" s="48"/>
      <c r="BC165" s="82">
        <v>1</v>
      </c>
      <c r="BD165" s="24" cm="1">
        <f t="array" ref="BD165">SUM(AX165:BC165)</f>
        <v>4</v>
      </c>
      <c r="BE165" s="19"/>
      <c r="BF165" s="24">
        <v>3</v>
      </c>
    </row>
    <row r="166" ht="22.4" customHeight="1">
      <c r="AW166" t="s" s="11">
        <v>19</v>
      </c>
      <c r="AX166" s="55"/>
      <c r="AY166" s="48"/>
      <c r="AZ166" s="48"/>
      <c r="BA166" s="48"/>
      <c r="BB166" s="48"/>
      <c r="BC166" s="48"/>
      <c r="BD166" s="24" cm="1">
        <f t="array" ref="BD166">SUM(AX166:BC166)</f>
        <v>0</v>
      </c>
      <c r="BE166" s="19"/>
      <c r="BF166" s="19"/>
    </row>
    <row r="167" ht="22.4" customHeight="1">
      <c r="AW167" t="s" s="11">
        <v>20</v>
      </c>
      <c r="AX167" s="55"/>
      <c r="AY167" s="48"/>
      <c r="AZ167" s="48"/>
      <c r="BA167" s="48"/>
      <c r="BB167" s="48"/>
      <c r="BC167" s="48"/>
      <c r="BD167" s="24" cm="1">
        <f t="array" ref="BD167">SUM(AX167:BC167)</f>
        <v>0</v>
      </c>
      <c r="BE167" s="19"/>
      <c r="BF167" s="19"/>
    </row>
    <row r="168" ht="22.4" customHeight="1">
      <c r="AW168" t="s" s="11">
        <v>21</v>
      </c>
      <c r="AX168" s="55"/>
      <c r="AY168" s="48"/>
      <c r="AZ168" s="48"/>
      <c r="BA168" s="48"/>
      <c r="BB168" s="48"/>
      <c r="BC168" s="48"/>
      <c r="BD168" s="24" cm="1">
        <f t="array" ref="BD168">SUM(AX168:BC168)</f>
        <v>0</v>
      </c>
      <c r="BE168" s="19"/>
      <c r="BF168" s="19"/>
    </row>
    <row r="169" ht="22.4" customHeight="1">
      <c r="AW169" t="s" s="11">
        <v>27</v>
      </c>
      <c r="AX169" s="53">
        <v>1</v>
      </c>
      <c r="AY169" s="82">
        <v>1</v>
      </c>
      <c r="AZ169" s="48"/>
      <c r="BA169" s="82">
        <v>1</v>
      </c>
      <c r="BB169" s="48"/>
      <c r="BC169" s="48"/>
      <c r="BD169" s="24" cm="1">
        <f t="array" ref="BD169">SUM(AX169:BC169)</f>
        <v>3</v>
      </c>
      <c r="BE169" s="19"/>
      <c r="BF169" s="19"/>
    </row>
    <row r="170" ht="22.4" customHeight="1">
      <c r="AW170" t="s" s="11">
        <v>42</v>
      </c>
      <c r="AX170" s="55"/>
      <c r="AY170" s="48"/>
      <c r="AZ170" s="48"/>
      <c r="BA170" s="48"/>
      <c r="BB170" s="48"/>
      <c r="BC170" s="48"/>
      <c r="BD170" s="24" cm="1">
        <f t="array" ref="BD170">SUM(AX170:BC170)</f>
        <v>0</v>
      </c>
      <c r="BE170" s="19"/>
      <c r="BF170" s="19"/>
    </row>
    <row r="171" ht="22.4" customHeight="1">
      <c r="AW171" t="s" s="11">
        <v>43</v>
      </c>
      <c r="AX171" s="55"/>
      <c r="AY171" s="48"/>
      <c r="AZ171" s="48"/>
      <c r="BA171" s="48"/>
      <c r="BB171" s="48"/>
      <c r="BC171" s="48"/>
      <c r="BD171" s="24" cm="1">
        <f t="array" ref="BD171">SUM(AX171:BC171)</f>
        <v>0</v>
      </c>
      <c r="BE171" s="19"/>
      <c r="BF171" s="19"/>
    </row>
    <row r="172" ht="22.4" customHeight="1">
      <c r="AW172" t="s" s="11">
        <v>41</v>
      </c>
      <c r="AX172" s="55"/>
      <c r="AY172" s="48"/>
      <c r="AZ172" s="48"/>
      <c r="BA172" s="48"/>
      <c r="BB172" s="48"/>
      <c r="BC172" s="48"/>
      <c r="BD172" s="24" cm="1">
        <f t="array" ref="BD172">SUM(AX172:BC172)</f>
        <v>0</v>
      </c>
      <c r="BE172" s="19"/>
      <c r="BF172" s="19"/>
    </row>
    <row r="173" ht="22.4" customHeight="1">
      <c r="AW173" t="s" s="11">
        <v>32</v>
      </c>
      <c r="AX173" s="55"/>
      <c r="AY173" s="48"/>
      <c r="AZ173" s="48"/>
      <c r="BA173" s="48"/>
      <c r="BB173" s="48"/>
      <c r="BC173" s="48"/>
      <c r="BD173" s="24" cm="1">
        <f t="array" ref="BD173">SUM(AX173:BC173)</f>
        <v>0</v>
      </c>
      <c r="BE173" s="19"/>
      <c r="BF173" s="19"/>
    </row>
    <row r="174" ht="22.4" customHeight="1">
      <c r="AW174" t="s" s="32">
        <v>50</v>
      </c>
      <c r="AX174" s="55"/>
      <c r="AY174" s="48"/>
      <c r="AZ174" s="48"/>
      <c r="BA174" s="48"/>
      <c r="BB174" s="48"/>
      <c r="BC174" s="48"/>
      <c r="BD174" s="24" cm="1">
        <f t="array" ref="BD174">SUM(AX174:BC174)</f>
        <v>0</v>
      </c>
      <c r="BE174" s="19"/>
      <c r="BF174" s="19"/>
    </row>
    <row r="175" ht="22.4" customHeight="1">
      <c r="AW175" t="s" s="32">
        <v>52</v>
      </c>
      <c r="AX175" s="55"/>
      <c r="AY175" s="48"/>
      <c r="AZ175" s="48"/>
      <c r="BA175" s="48"/>
      <c r="BB175" s="48"/>
      <c r="BC175" s="48"/>
      <c r="BD175" s="24" cm="1">
        <f t="array" ref="BD175">SUM(AX175:BC175)</f>
        <v>0</v>
      </c>
      <c r="BE175" s="19"/>
      <c r="BF175" s="19"/>
    </row>
    <row r="176" ht="22.4" customHeight="1">
      <c r="AW176" t="s" s="32">
        <v>51</v>
      </c>
      <c r="AX176" s="55"/>
      <c r="AY176" s="48"/>
      <c r="AZ176" s="48"/>
      <c r="BA176" s="48"/>
      <c r="BB176" s="48"/>
      <c r="BC176" s="48"/>
      <c r="BD176" s="24" cm="1">
        <f t="array" ref="BD176">SUM(AX176:BC176)</f>
        <v>0</v>
      </c>
      <c r="BE176" s="19"/>
      <c r="BF176" s="19"/>
    </row>
    <row r="177" ht="26.95" customHeight="1">
      <c r="AW177" t="s" s="95">
        <v>22</v>
      </c>
      <c r="AX177" s="134">
        <v>1</v>
      </c>
      <c r="AY177" s="133">
        <v>1</v>
      </c>
      <c r="AZ177" s="133">
        <v>1</v>
      </c>
      <c r="BA177" s="133">
        <v>1</v>
      </c>
      <c r="BB177" s="48"/>
      <c r="BC177" s="48"/>
      <c r="BD177" s="24" cm="1">
        <f t="array" ref="BD177">SUM(AX177:BC177)</f>
        <v>4</v>
      </c>
      <c r="BE177" s="48"/>
      <c r="BF177" s="48"/>
    </row>
    <row r="178" ht="20.05" customHeight="1">
      <c r="AW178" t="s" s="95">
        <v>10</v>
      </c>
      <c r="AX178" s="134">
        <v>1</v>
      </c>
      <c r="AY178" s="133">
        <v>1</v>
      </c>
      <c r="AZ178" s="133">
        <v>1</v>
      </c>
      <c r="BA178" s="48"/>
      <c r="BB178" s="133">
        <v>1</v>
      </c>
      <c r="BC178" s="133">
        <v>1</v>
      </c>
      <c r="BD178" s="24" cm="1">
        <f t="array" ref="BD178">SUM(AX178:BC178)</f>
        <v>5</v>
      </c>
      <c r="BE178" s="48"/>
      <c r="BF178" s="48"/>
    </row>
    <row r="179" ht="20.05" customHeight="1">
      <c r="AW179" t="s" s="95">
        <v>112</v>
      </c>
      <c r="AX179" s="55"/>
      <c r="AY179" s="48"/>
      <c r="AZ179" s="48"/>
      <c r="BA179" s="48"/>
      <c r="BB179" s="48"/>
      <c r="BC179" s="48"/>
      <c r="BD179" s="24" cm="1">
        <f t="array" ref="BD179">SUM(AX179:BC179)</f>
        <v>0</v>
      </c>
      <c r="BE179" s="48"/>
      <c r="BF179" s="48"/>
    </row>
    <row r="180" ht="20.05" customHeight="1">
      <c r="AW180" t="s" s="95">
        <v>113</v>
      </c>
      <c r="AX180" s="55"/>
      <c r="AY180" s="48"/>
      <c r="AZ180" s="48"/>
      <c r="BA180" s="48"/>
      <c r="BB180" s="48"/>
      <c r="BC180" s="48"/>
      <c r="BD180" s="24" cm="1">
        <f t="array" ref="BD180">SUM(AX180:BC180)</f>
        <v>0</v>
      </c>
      <c r="BE180" s="48"/>
      <c r="BF180" s="48"/>
    </row>
    <row r="181" ht="22.4" customHeight="1">
      <c r="AW181" t="s" s="44">
        <v>70</v>
      </c>
      <c r="AX181" s="55"/>
      <c r="AY181" s="48"/>
      <c r="AZ181" s="48"/>
      <c r="BA181" s="48"/>
      <c r="BB181" s="48"/>
      <c r="BC181" s="48"/>
      <c r="BD181" s="24" cm="1">
        <f t="array" ref="BD181">SUM(AX181:BC181)</f>
        <v>0</v>
      </c>
      <c r="BE181" s="19"/>
      <c r="BF181" s="19"/>
    </row>
    <row r="182" ht="22.4" customHeight="1">
      <c r="AW182" t="s" s="44">
        <v>58</v>
      </c>
      <c r="AX182" s="55"/>
      <c r="AY182" s="48"/>
      <c r="AZ182" s="48"/>
      <c r="BA182" s="48"/>
      <c r="BB182" s="48"/>
      <c r="BC182" s="48"/>
      <c r="BD182" s="24" cm="1">
        <f t="array" ref="BD182">SUM(AX182:BC182)</f>
        <v>0</v>
      </c>
      <c r="BE182" s="19"/>
      <c r="BF182" s="19"/>
    </row>
    <row r="183" ht="22.4" customHeight="1">
      <c r="AW183" t="s" s="44">
        <v>59</v>
      </c>
      <c r="AX183" s="55"/>
      <c r="AY183" s="48"/>
      <c r="AZ183" s="48"/>
      <c r="BA183" s="48"/>
      <c r="BB183" s="48"/>
      <c r="BC183" s="48"/>
      <c r="BD183" s="24" cm="1">
        <f t="array" ref="BD183">SUM(AX183:BC183)</f>
        <v>0</v>
      </c>
      <c r="BE183" s="19"/>
      <c r="BF183" s="19"/>
    </row>
    <row r="184" ht="22.4" customHeight="1">
      <c r="AW184" t="s" s="44">
        <v>45</v>
      </c>
      <c r="AX184" s="53">
        <v>1</v>
      </c>
      <c r="AY184" s="48"/>
      <c r="AZ184" s="48"/>
      <c r="BA184" s="48"/>
      <c r="BB184" s="48"/>
      <c r="BC184" s="82">
        <v>1</v>
      </c>
      <c r="BD184" s="24" cm="1">
        <f t="array" ref="BD184">SUM(AX184:BC184)</f>
        <v>2</v>
      </c>
      <c r="BE184" s="19"/>
      <c r="BF184" s="19"/>
    </row>
    <row r="185" ht="35.8" customHeight="1">
      <c r="AW185" t="s" s="44">
        <v>46</v>
      </c>
      <c r="AX185" s="55"/>
      <c r="AY185" s="48"/>
      <c r="AZ185" s="48"/>
      <c r="BA185" s="48"/>
      <c r="BB185" s="48"/>
      <c r="BC185" s="82">
        <v>1</v>
      </c>
      <c r="BD185" s="24" cm="1">
        <f t="array" ref="BD185">SUM(AX185:BC185)</f>
        <v>1</v>
      </c>
      <c r="BE185" s="19"/>
      <c r="BF185" s="19"/>
    </row>
    <row r="186" ht="35.8" customHeight="1">
      <c r="AW186" t="s" s="44">
        <v>91</v>
      </c>
      <c r="AX186" s="55"/>
      <c r="AY186" s="48"/>
      <c r="AZ186" s="48"/>
      <c r="BA186" s="48"/>
      <c r="BB186" s="48"/>
      <c r="BC186" s="48"/>
      <c r="BD186" s="24" cm="1">
        <f t="array" ref="BD186">SUM(AX186:BC186)</f>
        <v>0</v>
      </c>
      <c r="BE186" s="48"/>
      <c r="BF186" s="48"/>
    </row>
    <row r="187" ht="22.4" customHeight="1">
      <c r="AW187" t="s" s="44">
        <v>48</v>
      </c>
      <c r="AX187" s="55"/>
      <c r="AY187" s="48"/>
      <c r="AZ187" s="48"/>
      <c r="BA187" s="48"/>
      <c r="BB187" s="48"/>
      <c r="BC187" s="48"/>
      <c r="BD187" s="143" cm="1">
        <f t="array" ref="BD187">SUM(AX187:BC187)</f>
        <v>0</v>
      </c>
      <c r="BE187" s="48"/>
      <c r="BF187" s="48"/>
    </row>
    <row r="188" ht="22.4" customHeight="1">
      <c r="AW188" t="s" s="44">
        <v>49</v>
      </c>
      <c r="AX188" s="55"/>
      <c r="AY188" s="48"/>
      <c r="AZ188" s="48"/>
      <c r="BA188" s="48"/>
      <c r="BB188" s="48"/>
      <c r="BC188" s="48"/>
      <c r="BD188" s="143" cm="1">
        <f t="array" ref="BD188">SUM(AX188:BC188)</f>
        <v>0</v>
      </c>
      <c r="BE188" s="48"/>
      <c r="BF188" s="48"/>
    </row>
    <row r="189" ht="22.4" customHeight="1">
      <c r="AW189" t="s" s="44">
        <v>101</v>
      </c>
      <c r="AX189" s="55"/>
      <c r="AY189" s="48"/>
      <c r="AZ189" s="48"/>
      <c r="BA189" s="48"/>
      <c r="BB189" s="48"/>
      <c r="BC189" s="48"/>
      <c r="BD189" s="143" cm="1">
        <f t="array" ref="BD189">SUM(AX189:BC189)</f>
        <v>0</v>
      </c>
      <c r="BE189" s="48"/>
      <c r="BF189" s="48"/>
    </row>
    <row r="190" ht="22.4" customHeight="1">
      <c r="AW190" t="s" s="32">
        <v>115</v>
      </c>
      <c r="AX190" s="55"/>
      <c r="AY190" s="48"/>
      <c r="AZ190" s="48"/>
      <c r="BA190" s="48"/>
      <c r="BB190" s="48"/>
      <c r="BC190" s="48"/>
      <c r="BD190" s="143" cm="1">
        <f t="array" ref="BD190">SUM(AX190:BC190)</f>
        <v>0</v>
      </c>
      <c r="BE190" s="48"/>
      <c r="BF190" s="48"/>
    </row>
    <row r="191" ht="22.4" customHeight="1">
      <c r="AW191" t="s" s="32">
        <v>102</v>
      </c>
      <c r="AX191" s="183">
        <v>3</v>
      </c>
      <c r="AY191" s="48"/>
      <c r="AZ191" s="48"/>
      <c r="BA191" s="184">
        <v>1</v>
      </c>
      <c r="BB191" s="184">
        <v>1</v>
      </c>
      <c r="BC191" s="184">
        <v>1</v>
      </c>
      <c r="BD191" s="143" cm="1">
        <f t="array" ref="BD191">SUM(AX191:BC191)</f>
        <v>6</v>
      </c>
      <c r="BE191" s="48"/>
      <c r="BF191" s="48"/>
    </row>
    <row r="192" ht="32.9" customHeight="1">
      <c r="AW192" t="s" s="49">
        <v>30</v>
      </c>
      <c r="AX192" s="12" cm="1">
        <f t="array" ref="AX192">SUM(AX160:AX191)</f>
        <v>9</v>
      </c>
      <c r="AY192" s="24" cm="1">
        <f t="array" ref="AY192">SUM(AY160:AY191)</f>
        <v>5</v>
      </c>
      <c r="AZ192" s="24" cm="1">
        <f t="array" ref="AZ192">SUM(AZ160:AZ191)</f>
        <v>2</v>
      </c>
      <c r="BA192" s="24" cm="1">
        <f t="array" ref="BA192">SUM(BA160:BA191)</f>
        <v>4</v>
      </c>
      <c r="BB192" s="24" cm="1">
        <f t="array" ref="BB192">SUM(BB160:BB191)</f>
        <v>3</v>
      </c>
      <c r="BC192" s="24" cm="1">
        <f t="array" ref="BC192">SUM(BC160:BC191)</f>
        <v>5</v>
      </c>
      <c r="BD192" s="24" cm="1">
        <f t="array" ref="BD192">SUM(BD160:BD191)</f>
        <v>28</v>
      </c>
      <c r="BE192" s="48"/>
      <c r="BF192" s="48"/>
    </row>
    <row r="194" ht="27.65" customHeight="1">
      <c r="BG194" t="s" s="2">
        <v>83</v>
      </c>
      <c r="BH194" s="2"/>
      <c r="BI194" s="2"/>
      <c r="BJ194" s="2"/>
      <c r="BK194" s="2"/>
      <c r="BL194" s="2"/>
      <c r="BM194" s="2"/>
      <c r="BN194" s="2"/>
      <c r="BO194" s="2"/>
      <c r="BP194" s="2"/>
    </row>
    <row r="195" ht="36.8" customHeight="1">
      <c r="BG195" s="35"/>
      <c r="BH195" t="s" s="3">
        <v>203</v>
      </c>
      <c r="BI195" t="s" s="3">
        <v>204</v>
      </c>
      <c r="BJ195" t="s" s="3">
        <v>205</v>
      </c>
      <c r="BK195" t="s" s="3">
        <v>206</v>
      </c>
      <c r="BL195" t="s" s="3">
        <v>207</v>
      </c>
      <c r="BM195" t="s" s="3">
        <v>208</v>
      </c>
      <c r="BN195" t="s" s="3">
        <v>67</v>
      </c>
      <c r="BO195" t="s" s="3">
        <v>68</v>
      </c>
      <c r="BP195" t="s" s="3">
        <v>69</v>
      </c>
    </row>
    <row r="196" ht="23.1" customHeight="1">
      <c r="BG196" t="s" s="6">
        <v>55</v>
      </c>
      <c r="BH196" s="136"/>
      <c r="BI196" s="123"/>
      <c r="BJ196" s="123"/>
      <c r="BK196" s="123"/>
      <c r="BL196" s="123"/>
      <c r="BM196" s="123"/>
      <c r="BN196" s="123"/>
      <c r="BO196" s="123"/>
      <c r="BP196" s="37"/>
    </row>
    <row r="197" ht="22.9" customHeight="1">
      <c r="BG197" t="s" s="11">
        <v>56</v>
      </c>
      <c r="BH197" s="55"/>
      <c r="BI197" s="48"/>
      <c r="BJ197" s="48"/>
      <c r="BK197" s="48"/>
      <c r="BL197" s="48"/>
      <c r="BM197" s="48"/>
      <c r="BN197" s="48"/>
      <c r="BO197" s="48"/>
      <c r="BP197" s="19"/>
    </row>
    <row r="198" ht="22.9" customHeight="1">
      <c r="BG198" t="s" s="95">
        <v>35</v>
      </c>
      <c r="BH198" s="186"/>
      <c r="BI198" s="181"/>
      <c r="BJ198" s="48"/>
      <c r="BK198" s="48"/>
      <c r="BL198" s="48"/>
      <c r="BM198" s="48"/>
      <c r="BN198" s="48"/>
      <c r="BO198" s="48"/>
      <c r="BP198" s="19"/>
    </row>
    <row r="199" ht="22.9" customHeight="1">
      <c r="BG199" t="s" s="11">
        <v>16</v>
      </c>
      <c r="BH199" s="55"/>
      <c r="BI199" s="48"/>
      <c r="BJ199" s="48"/>
      <c r="BK199" s="48"/>
      <c r="BL199" s="48"/>
      <c r="BM199" s="48"/>
      <c r="BN199" s="48"/>
      <c r="BO199" s="48"/>
      <c r="BP199" s="19"/>
    </row>
    <row r="200" ht="22.9" customHeight="1">
      <c r="BG200" t="s" s="11">
        <v>17</v>
      </c>
      <c r="BH200" s="55"/>
      <c r="BI200" s="48"/>
      <c r="BJ200" s="48"/>
      <c r="BK200" s="48"/>
      <c r="BL200" s="48"/>
      <c r="BM200" s="48"/>
      <c r="BN200" s="48"/>
      <c r="BO200" s="48"/>
      <c r="BP200" s="19"/>
    </row>
    <row r="201" ht="26.1" customHeight="1">
      <c r="BG201" t="s" s="11">
        <v>18</v>
      </c>
      <c r="BH201" s="186"/>
      <c r="BI201" s="181"/>
      <c r="BJ201" s="48"/>
      <c r="BK201" s="48"/>
      <c r="BL201" s="48"/>
      <c r="BM201" s="48"/>
      <c r="BN201" s="48"/>
      <c r="BO201" s="48"/>
      <c r="BP201" s="19"/>
    </row>
    <row r="202" ht="22.9" customHeight="1">
      <c r="BG202" t="s" s="11">
        <v>19</v>
      </c>
      <c r="BH202" s="55"/>
      <c r="BI202" s="48"/>
      <c r="BJ202" s="48"/>
      <c r="BK202" s="48"/>
      <c r="BL202" s="48"/>
      <c r="BM202" s="48"/>
      <c r="BN202" s="48"/>
      <c r="BO202" s="48"/>
      <c r="BP202" s="19"/>
    </row>
    <row r="203" ht="22.9" customHeight="1">
      <c r="BG203" t="s" s="11">
        <v>20</v>
      </c>
      <c r="BH203" s="55"/>
      <c r="BI203" s="48"/>
      <c r="BJ203" s="48"/>
      <c r="BK203" s="48"/>
      <c r="BL203" s="48"/>
      <c r="BM203" s="48"/>
      <c r="BN203" s="48"/>
      <c r="BO203" s="48"/>
      <c r="BP203" s="19"/>
    </row>
    <row r="204" ht="22.9" customHeight="1">
      <c r="BG204" t="s" s="11">
        <v>21</v>
      </c>
      <c r="BH204" s="55"/>
      <c r="BI204" s="48"/>
      <c r="BJ204" s="48"/>
      <c r="BK204" s="48"/>
      <c r="BL204" s="48"/>
      <c r="BM204" s="48"/>
      <c r="BN204" s="48"/>
      <c r="BO204" s="48"/>
      <c r="BP204" s="19"/>
    </row>
    <row r="205" ht="22.9" customHeight="1">
      <c r="BG205" t="s" s="11">
        <v>27</v>
      </c>
      <c r="BH205" s="186"/>
      <c r="BI205" s="181"/>
      <c r="BJ205" s="48"/>
      <c r="BK205" s="48"/>
      <c r="BL205" s="48"/>
      <c r="BM205" s="48"/>
      <c r="BN205" s="78"/>
      <c r="BO205" s="78"/>
      <c r="BP205" s="27"/>
    </row>
    <row r="206" ht="22.9" customHeight="1">
      <c r="BG206" t="s" s="11">
        <v>42</v>
      </c>
      <c r="BH206" s="55"/>
      <c r="BI206" s="48"/>
      <c r="BJ206" s="48"/>
      <c r="BK206" s="48"/>
      <c r="BL206" s="48"/>
      <c r="BM206" s="48"/>
      <c r="BN206" s="48"/>
      <c r="BO206" s="48"/>
      <c r="BP206" s="19"/>
    </row>
    <row r="207" ht="22.9" customHeight="1">
      <c r="BG207" t="s" s="11">
        <v>43</v>
      </c>
      <c r="BH207" s="55"/>
      <c r="BI207" s="48"/>
      <c r="BJ207" s="48"/>
      <c r="BK207" s="48"/>
      <c r="BL207" s="48"/>
      <c r="BM207" s="48"/>
      <c r="BN207" s="48"/>
      <c r="BO207" s="48"/>
      <c r="BP207" s="19"/>
    </row>
    <row r="208" ht="22.9" customHeight="1">
      <c r="BG208" t="s" s="11">
        <v>41</v>
      </c>
      <c r="BH208" s="55"/>
      <c r="BI208" s="48"/>
      <c r="BJ208" s="48"/>
      <c r="BK208" s="48"/>
      <c r="BL208" s="48"/>
      <c r="BM208" s="48"/>
      <c r="BN208" s="48"/>
      <c r="BO208" s="48"/>
      <c r="BP208" s="19"/>
    </row>
    <row r="209" ht="22.9" customHeight="1">
      <c r="BG209" t="s" s="11">
        <v>32</v>
      </c>
      <c r="BH209" s="55"/>
      <c r="BI209" s="48"/>
      <c r="BJ209" s="48"/>
      <c r="BK209" s="48"/>
      <c r="BL209" s="48"/>
      <c r="BM209" s="48"/>
      <c r="BN209" s="48"/>
      <c r="BO209" s="48"/>
      <c r="BP209" s="19"/>
    </row>
    <row r="210" ht="22.9" customHeight="1">
      <c r="BG210" t="s" s="64">
        <v>50</v>
      </c>
      <c r="BH210" s="55"/>
      <c r="BI210" s="48"/>
      <c r="BJ210" s="48"/>
      <c r="BK210" s="48"/>
      <c r="BL210" s="48"/>
      <c r="BM210" s="48"/>
      <c r="BN210" s="48"/>
      <c r="BO210" s="48"/>
      <c r="BP210" s="19"/>
    </row>
    <row r="211" ht="22.9" customHeight="1">
      <c r="BG211" t="s" s="64">
        <v>52</v>
      </c>
      <c r="BH211" s="55"/>
      <c r="BI211" s="48"/>
      <c r="BJ211" s="48"/>
      <c r="BK211" s="48"/>
      <c r="BL211" s="48"/>
      <c r="BM211" s="48"/>
      <c r="BN211" s="48"/>
      <c r="BO211" s="48"/>
      <c r="BP211" s="19"/>
    </row>
    <row r="212" ht="32.05" customHeight="1">
      <c r="BG212" t="s" s="64">
        <v>51</v>
      </c>
      <c r="BH212" s="55"/>
      <c r="BI212" s="48"/>
      <c r="BJ212" s="48"/>
      <c r="BK212" s="48"/>
      <c r="BL212" s="48"/>
      <c r="BM212" s="48"/>
      <c r="BN212" s="48"/>
      <c r="BO212" s="48"/>
      <c r="BP212" s="19"/>
    </row>
    <row r="213" ht="25.15" customHeight="1">
      <c r="BG213" t="s" s="95">
        <v>22</v>
      </c>
      <c r="BH213" s="186"/>
      <c r="BI213" s="181"/>
      <c r="BJ213" s="181"/>
      <c r="BK213" s="48"/>
      <c r="BL213" s="48"/>
      <c r="BM213" s="48"/>
      <c r="BN213" s="48"/>
      <c r="BO213" s="48"/>
      <c r="BP213" s="19"/>
    </row>
    <row r="214" ht="20.05" customHeight="1">
      <c r="BG214" t="s" s="95">
        <v>10</v>
      </c>
      <c r="BH214" s="186"/>
      <c r="BI214" s="181"/>
      <c r="BJ214" s="48"/>
      <c r="BK214" s="48"/>
      <c r="BL214" s="48"/>
      <c r="BM214" s="48"/>
      <c r="BN214" s="48"/>
      <c r="BO214" s="48"/>
      <c r="BP214" s="19"/>
    </row>
    <row r="215" ht="20.05" customHeight="1">
      <c r="BG215" t="s" s="95">
        <v>112</v>
      </c>
      <c r="BH215" s="55"/>
      <c r="BI215" s="48"/>
      <c r="BJ215" s="48"/>
      <c r="BK215" s="48"/>
      <c r="BL215" s="48"/>
      <c r="BM215" s="48"/>
      <c r="BN215" s="48"/>
      <c r="BO215" s="48"/>
      <c r="BP215" s="19"/>
    </row>
    <row r="216" ht="20.05" customHeight="1">
      <c r="BG216" t="s" s="95">
        <v>113</v>
      </c>
      <c r="BH216" s="55"/>
      <c r="BI216" s="48"/>
      <c r="BJ216" s="48"/>
      <c r="BK216" s="48"/>
      <c r="BL216" s="48"/>
      <c r="BM216" s="48"/>
      <c r="BN216" s="48"/>
      <c r="BO216" s="48"/>
      <c r="BP216" s="19"/>
    </row>
    <row r="217" ht="22.9" customHeight="1">
      <c r="BG217" t="s" s="44">
        <v>70</v>
      </c>
      <c r="BH217" s="55"/>
      <c r="BI217" s="48"/>
      <c r="BJ217" s="48"/>
      <c r="BK217" s="48"/>
      <c r="BL217" s="48"/>
      <c r="BM217" s="48"/>
      <c r="BN217" s="48"/>
      <c r="BO217" s="48"/>
      <c r="BP217" s="19"/>
    </row>
    <row r="218" ht="22.9" customHeight="1">
      <c r="BG218" t="s" s="44">
        <v>58</v>
      </c>
      <c r="BH218" s="55"/>
      <c r="BI218" s="48"/>
      <c r="BJ218" s="48"/>
      <c r="BK218" s="48"/>
      <c r="BL218" s="48"/>
      <c r="BM218" s="48"/>
      <c r="BN218" s="48"/>
      <c r="BO218" s="48"/>
      <c r="BP218" s="19"/>
    </row>
    <row r="219" ht="22.9" customHeight="1">
      <c r="BG219" t="s" s="44">
        <v>59</v>
      </c>
      <c r="BH219" s="55"/>
      <c r="BI219" s="48"/>
      <c r="BJ219" s="48"/>
      <c r="BK219" s="48"/>
      <c r="BL219" s="48"/>
      <c r="BM219" s="48"/>
      <c r="BN219" s="78"/>
      <c r="BO219" s="78"/>
      <c r="BP219" s="27"/>
    </row>
    <row r="220" ht="22.9" customHeight="1">
      <c r="BG220" t="s" s="44">
        <v>45</v>
      </c>
      <c r="BH220" s="186"/>
      <c r="BI220" s="48"/>
      <c r="BJ220" s="48"/>
      <c r="BK220" s="48"/>
      <c r="BL220" s="48"/>
      <c r="BM220" s="48"/>
      <c r="BN220" s="48"/>
      <c r="BO220" s="48"/>
      <c r="BP220" s="19"/>
    </row>
    <row r="221" ht="28.1" customHeight="1">
      <c r="BG221" t="s" s="44">
        <v>46</v>
      </c>
      <c r="BH221" s="55"/>
      <c r="BI221" s="48"/>
      <c r="BJ221" s="48"/>
      <c r="BK221" s="48"/>
      <c r="BL221" s="48"/>
      <c r="BM221" s="48"/>
      <c r="BN221" s="48"/>
      <c r="BO221" s="48"/>
      <c r="BP221" s="19"/>
    </row>
    <row r="222" ht="22.9" customHeight="1">
      <c r="BG222" t="s" s="64">
        <v>91</v>
      </c>
      <c r="BH222" s="55"/>
      <c r="BI222" s="48"/>
      <c r="BJ222" s="48"/>
      <c r="BK222" s="48"/>
      <c r="BL222" s="48"/>
      <c r="BM222" s="48"/>
      <c r="BN222" s="48"/>
      <c r="BO222" s="48"/>
      <c r="BP222" s="19"/>
    </row>
    <row r="223" ht="22.9" customHeight="1">
      <c r="BG223" t="s" s="21">
        <v>48</v>
      </c>
      <c r="BH223" s="55"/>
      <c r="BI223" s="48"/>
      <c r="BJ223" s="48"/>
      <c r="BK223" s="48"/>
      <c r="BL223" s="48"/>
      <c r="BM223" s="48"/>
      <c r="BN223" s="48"/>
      <c r="BO223" s="48"/>
      <c r="BP223" s="19"/>
    </row>
    <row r="224" ht="22.9" customHeight="1">
      <c r="BG224" t="s" s="21">
        <v>49</v>
      </c>
      <c r="BH224" s="55"/>
      <c r="BI224" s="48"/>
      <c r="BJ224" s="48"/>
      <c r="BK224" s="48"/>
      <c r="BL224" s="48"/>
      <c r="BM224" s="48"/>
      <c r="BN224" s="48"/>
      <c r="BO224" s="48"/>
      <c r="BP224" s="19"/>
    </row>
    <row r="225" ht="20.4" customHeight="1">
      <c r="BG225" t="s" s="44">
        <v>101</v>
      </c>
      <c r="BH225" s="55"/>
      <c r="BI225" s="48"/>
      <c r="BJ225" s="48"/>
      <c r="BK225" s="48"/>
      <c r="BL225" s="48"/>
      <c r="BM225" s="48"/>
      <c r="BN225" s="48"/>
      <c r="BO225" s="48"/>
      <c r="BP225" s="19"/>
    </row>
    <row r="226" ht="20.4" customHeight="1">
      <c r="BG226" t="s" s="32">
        <v>115</v>
      </c>
      <c r="BH226" s="55"/>
      <c r="BI226" s="48"/>
      <c r="BJ226" s="48"/>
      <c r="BK226" s="48"/>
      <c r="BL226" s="48"/>
      <c r="BM226" s="48"/>
      <c r="BN226" s="48"/>
      <c r="BO226" s="48"/>
      <c r="BP226" s="19"/>
    </row>
    <row r="227" ht="20.4" customHeight="1">
      <c r="BG227" t="s" s="32">
        <v>109</v>
      </c>
      <c r="BH227" s="55"/>
      <c r="BI227" s="48"/>
      <c r="BJ227" s="48"/>
      <c r="BK227" s="48"/>
      <c r="BL227" s="48"/>
      <c r="BM227" s="48"/>
      <c r="BN227" s="19"/>
      <c r="BO227" s="19"/>
      <c r="BP227" s="128"/>
    </row>
    <row r="228" ht="20.4" customHeight="1">
      <c r="BG228" t="s" s="32">
        <v>154</v>
      </c>
      <c r="BH228" s="55"/>
      <c r="BI228" s="48"/>
      <c r="BJ228" s="48"/>
      <c r="BK228" s="48"/>
      <c r="BL228" s="48"/>
      <c r="BM228" s="48"/>
      <c r="BN228" s="19"/>
      <c r="BO228" s="19"/>
      <c r="BP228" s="128"/>
    </row>
    <row r="229" ht="20.4" customHeight="1">
      <c r="BG229" t="s" s="32">
        <v>155</v>
      </c>
      <c r="BH229" s="55"/>
      <c r="BI229" s="48"/>
      <c r="BJ229" s="48"/>
      <c r="BK229" s="48"/>
      <c r="BL229" s="48"/>
      <c r="BM229" s="48"/>
      <c r="BN229" s="19"/>
      <c r="BO229" s="19"/>
      <c r="BP229" s="128"/>
    </row>
    <row r="230" ht="20.4" customHeight="1">
      <c r="BG230" t="s" s="32">
        <v>156</v>
      </c>
      <c r="BH230" s="55"/>
      <c r="BI230" s="48"/>
      <c r="BJ230" s="48"/>
      <c r="BK230" s="48"/>
      <c r="BL230" s="48"/>
      <c r="BM230" s="48"/>
      <c r="BN230" s="19"/>
      <c r="BO230" s="19"/>
      <c r="BP230" s="128"/>
    </row>
    <row r="231" ht="20.4" customHeight="1">
      <c r="BG231" t="s" s="32">
        <v>209</v>
      </c>
      <c r="BH231" s="55"/>
      <c r="BI231" s="48"/>
      <c r="BJ231" s="48"/>
      <c r="BK231" s="48"/>
      <c r="BL231" s="48"/>
      <c r="BM231" s="48"/>
      <c r="BN231" s="19"/>
      <c r="BO231" s="19"/>
      <c r="BP231" s="128"/>
    </row>
    <row r="232" ht="20.4" customHeight="1">
      <c r="BG232" t="s" s="32">
        <v>102</v>
      </c>
      <c r="BH232" s="186"/>
      <c r="BI232" s="48"/>
      <c r="BJ232" s="48"/>
      <c r="BK232" s="48"/>
      <c r="BL232" s="48"/>
      <c r="BM232" s="48"/>
      <c r="BN232" s="19"/>
      <c r="BO232" s="19"/>
      <c r="BP232" s="128"/>
    </row>
    <row r="233" ht="20.4" customHeight="1">
      <c r="BG233" t="s" s="49">
        <v>30</v>
      </c>
      <c r="BH233" s="12" cm="1">
        <f t="array" ref="BH233">AX192</f>
        <v>9</v>
      </c>
      <c r="BI233" s="24" cm="1">
        <f t="array" ref="BI233">SUM(BI196:BI232)</f>
        <v>0</v>
      </c>
      <c r="BJ233" s="24" cm="1">
        <f t="array" ref="BJ233">SUM(BJ196:BJ232)</f>
        <v>0</v>
      </c>
      <c r="BK233" s="24" cm="1">
        <f t="array" ref="BK233">SUM(BK196:BK232)</f>
        <v>0</v>
      </c>
      <c r="BL233" s="24" cm="1">
        <f t="array" ref="BL233">SUM(BL196:BL232)</f>
        <v>0</v>
      </c>
      <c r="BM233" s="24" cm="1">
        <f t="array" ref="BM233">SUM(BM196:BM232)</f>
        <v>0</v>
      </c>
      <c r="BN233" s="24" cm="1">
        <f t="array" ref="BN233">SUM(BN196:BN232)</f>
        <v>0</v>
      </c>
      <c r="BO233" s="24" cm="1">
        <f t="array" ref="BO233">SUM(BO196:BO232)</f>
        <v>0</v>
      </c>
      <c r="BP233" s="24" cm="1">
        <f t="array" ref="BP233">SUM(BP196:BP232)</f>
        <v>0</v>
      </c>
    </row>
    <row r="235" ht="27.65" customHeight="1">
      <c r="BQ235" t="s" s="2">
        <v>84</v>
      </c>
      <c r="BR235" s="2"/>
      <c r="BS235" s="2"/>
      <c r="BT235" s="2"/>
      <c r="BU235" s="2"/>
      <c r="BV235" s="2"/>
      <c r="BW235" s="2"/>
      <c r="BX235" s="2"/>
      <c r="BY235" s="2"/>
      <c r="BZ235" s="2"/>
    </row>
    <row r="236" ht="42.3" customHeight="1">
      <c r="BQ236" s="35"/>
      <c r="BR236" t="s" s="3">
        <v>210</v>
      </c>
      <c r="BS236" t="s" s="3">
        <v>211</v>
      </c>
      <c r="BT236" t="s" s="3">
        <v>212</v>
      </c>
      <c r="BU236" t="s" s="3">
        <v>213</v>
      </c>
      <c r="BV236" t="s" s="3">
        <v>214</v>
      </c>
      <c r="BW236" t="s" s="3">
        <v>215</v>
      </c>
      <c r="BX236" t="s" s="3">
        <v>53</v>
      </c>
      <c r="BY236" t="s" s="3">
        <v>67</v>
      </c>
      <c r="BZ236" t="s" s="3">
        <v>160</v>
      </c>
    </row>
    <row r="237" ht="26.6" customHeight="1">
      <c r="BQ237" t="s" s="6">
        <v>55</v>
      </c>
      <c r="BR237" s="136"/>
      <c r="BS237" s="123"/>
      <c r="BT237" s="123"/>
      <c r="BU237" s="123"/>
      <c r="BV237" s="123"/>
      <c r="BW237" s="123"/>
      <c r="BX237" s="47" cm="1">
        <f t="array" ref="BX237">SUM(BR237:BW237)</f>
        <v>0</v>
      </c>
      <c r="BY237" s="37"/>
      <c r="BZ237" s="37"/>
    </row>
    <row r="238" ht="26.35" customHeight="1">
      <c r="BQ238" t="s" s="11">
        <v>56</v>
      </c>
      <c r="BR238" s="55"/>
      <c r="BS238" s="48"/>
      <c r="BT238" s="48"/>
      <c r="BU238" s="48"/>
      <c r="BV238" s="48"/>
      <c r="BW238" s="48"/>
      <c r="BX238" s="24" cm="1">
        <f t="array" ref="BX238">SUM(BR238:BW238)</f>
        <v>0</v>
      </c>
      <c r="BY238" s="19"/>
      <c r="BZ238" s="19"/>
    </row>
    <row r="239" ht="26.35" customHeight="1">
      <c r="BQ239" t="s" s="95">
        <v>35</v>
      </c>
      <c r="BR239" s="55"/>
      <c r="BS239" s="48"/>
      <c r="BT239" s="48"/>
      <c r="BU239" s="48"/>
      <c r="BV239" s="48"/>
      <c r="BW239" s="48"/>
      <c r="BX239" s="24" cm="1">
        <f t="array" ref="BX239">SUM(BR239:BW239)</f>
        <v>0</v>
      </c>
      <c r="BY239" s="19"/>
      <c r="BZ239" s="19"/>
    </row>
    <row r="240" ht="26.35" customHeight="1">
      <c r="BQ240" t="s" s="11">
        <v>16</v>
      </c>
      <c r="BR240" s="55"/>
      <c r="BS240" s="48"/>
      <c r="BT240" s="48"/>
      <c r="BU240" s="48"/>
      <c r="BV240" s="48"/>
      <c r="BW240" s="48"/>
      <c r="BX240" s="24" cm="1">
        <f t="array" ref="BX240">SUM(BR240:BW240)</f>
        <v>0</v>
      </c>
      <c r="BY240" s="19"/>
      <c r="BZ240" s="19"/>
    </row>
    <row r="241" ht="26.35" customHeight="1">
      <c r="BQ241" t="s" s="11">
        <v>17</v>
      </c>
      <c r="BR241" s="55"/>
      <c r="BS241" s="48"/>
      <c r="BT241" s="48"/>
      <c r="BU241" s="48"/>
      <c r="BV241" s="48"/>
      <c r="BW241" s="48"/>
      <c r="BX241" s="24" cm="1">
        <f t="array" ref="BX241">SUM(BR241:BW241)</f>
        <v>0</v>
      </c>
      <c r="BY241" s="19"/>
      <c r="BZ241" s="19"/>
    </row>
    <row r="242" ht="42.05" customHeight="1">
      <c r="BQ242" t="s" s="11">
        <v>18</v>
      </c>
      <c r="BR242" s="55"/>
      <c r="BS242" s="82">
        <v>1</v>
      </c>
      <c r="BT242" s="48"/>
      <c r="BU242" s="48"/>
      <c r="BV242" s="48"/>
      <c r="BW242" s="48"/>
      <c r="BX242" s="24" cm="1">
        <f t="array" ref="BX242">SUM(BR242:BW242)</f>
        <v>1</v>
      </c>
      <c r="BY242" s="19"/>
      <c r="BZ242" s="24">
        <v>1</v>
      </c>
    </row>
    <row r="243" ht="26.35" customHeight="1">
      <c r="BQ243" t="s" s="11">
        <v>19</v>
      </c>
      <c r="BR243" s="55"/>
      <c r="BS243" s="48"/>
      <c r="BT243" s="48"/>
      <c r="BU243" s="48"/>
      <c r="BV243" s="48"/>
      <c r="BW243" s="48"/>
      <c r="BX243" s="24" cm="1">
        <f t="array" ref="BX243">SUM(BR243:BW243)</f>
        <v>0</v>
      </c>
      <c r="BY243" s="19"/>
      <c r="BZ243" s="19"/>
    </row>
    <row r="244" ht="26.35" customHeight="1">
      <c r="BQ244" t="s" s="11">
        <v>20</v>
      </c>
      <c r="BR244" s="55"/>
      <c r="BS244" s="48"/>
      <c r="BT244" s="48"/>
      <c r="BU244" s="48"/>
      <c r="BV244" s="48"/>
      <c r="BW244" s="48"/>
      <c r="BX244" s="24" cm="1">
        <f t="array" ref="BX244">SUM(BR244:BW244)</f>
        <v>0</v>
      </c>
      <c r="BY244" s="19"/>
      <c r="BZ244" s="19"/>
    </row>
    <row r="245" ht="26.35" customHeight="1">
      <c r="BQ245" t="s" s="11">
        <v>21</v>
      </c>
      <c r="BR245" s="55"/>
      <c r="BS245" s="48"/>
      <c r="BT245" s="48"/>
      <c r="BU245" s="48"/>
      <c r="BV245" s="48"/>
      <c r="BW245" s="48"/>
      <c r="BX245" s="24" cm="1">
        <f t="array" ref="BX245">SUM(BR245:BW245)</f>
        <v>0</v>
      </c>
      <c r="BY245" s="19"/>
      <c r="BZ245" s="19"/>
    </row>
    <row r="246" ht="26.35" customHeight="1">
      <c r="BQ246" t="s" s="11">
        <v>27</v>
      </c>
      <c r="BR246" s="55"/>
      <c r="BS246" s="82">
        <v>1</v>
      </c>
      <c r="BT246" s="82">
        <v>1</v>
      </c>
      <c r="BU246" s="48"/>
      <c r="BV246" s="82">
        <v>1</v>
      </c>
      <c r="BW246" s="48"/>
      <c r="BX246" s="24" cm="1">
        <f t="array" ref="BX246">SUM(BR246:BW246)</f>
        <v>3</v>
      </c>
      <c r="BY246" s="19"/>
      <c r="BZ246" s="19"/>
    </row>
    <row r="247" ht="26.35" customHeight="1">
      <c r="BQ247" t="s" s="11">
        <v>42</v>
      </c>
      <c r="BR247" s="55"/>
      <c r="BS247" s="48"/>
      <c r="BT247" s="48"/>
      <c r="BU247" s="48"/>
      <c r="BV247" s="48"/>
      <c r="BW247" s="48"/>
      <c r="BX247" s="24" cm="1">
        <f t="array" ref="BX247">SUM(BR247:BW247)</f>
        <v>0</v>
      </c>
      <c r="BY247" s="19"/>
      <c r="BZ247" s="19"/>
    </row>
    <row r="248" ht="26.35" customHeight="1">
      <c r="BQ248" t="s" s="11">
        <v>43</v>
      </c>
      <c r="BR248" s="55"/>
      <c r="BS248" s="48"/>
      <c r="BT248" s="48"/>
      <c r="BU248" s="48"/>
      <c r="BV248" s="48"/>
      <c r="BW248" s="48"/>
      <c r="BX248" s="24" cm="1">
        <f t="array" ref="BX248">SUM(BR248:BW248)</f>
        <v>0</v>
      </c>
      <c r="BY248" s="19"/>
      <c r="BZ248" s="19"/>
    </row>
    <row r="249" ht="26.35" customHeight="1">
      <c r="BQ249" t="s" s="11">
        <v>41</v>
      </c>
      <c r="BR249" s="55"/>
      <c r="BS249" s="48"/>
      <c r="BT249" s="48"/>
      <c r="BU249" s="48"/>
      <c r="BV249" s="48"/>
      <c r="BW249" s="48"/>
      <c r="BX249" s="24" cm="1">
        <f t="array" ref="BX249">SUM(BR249:BW249)</f>
        <v>0</v>
      </c>
      <c r="BY249" s="19"/>
      <c r="BZ249" s="19"/>
    </row>
    <row r="250" ht="26.35" customHeight="1">
      <c r="BQ250" t="s" s="11">
        <v>32</v>
      </c>
      <c r="BR250" s="55"/>
      <c r="BS250" s="48"/>
      <c r="BT250" s="48"/>
      <c r="BU250" s="48"/>
      <c r="BV250" s="48"/>
      <c r="BW250" s="48"/>
      <c r="BX250" s="24" cm="1">
        <f t="array" ref="BX250">SUM(BR250:BW250)</f>
        <v>0</v>
      </c>
      <c r="BY250" s="19"/>
      <c r="BZ250" s="19"/>
    </row>
    <row r="251" ht="26.35" customHeight="1">
      <c r="BQ251" t="s" s="32">
        <v>50</v>
      </c>
      <c r="BR251" s="55"/>
      <c r="BS251" s="48"/>
      <c r="BT251" s="48"/>
      <c r="BU251" s="48"/>
      <c r="BV251" s="48"/>
      <c r="BW251" s="48"/>
      <c r="BX251" s="24" cm="1">
        <f t="array" ref="BX251">SUM(BR251:BW251)</f>
        <v>0</v>
      </c>
      <c r="BY251" s="19"/>
      <c r="BZ251" s="19"/>
    </row>
    <row r="252" ht="26.35" customHeight="1">
      <c r="BQ252" t="s" s="32">
        <v>52</v>
      </c>
      <c r="BR252" s="55"/>
      <c r="BS252" s="48"/>
      <c r="BT252" s="48"/>
      <c r="BU252" s="48"/>
      <c r="BV252" s="48"/>
      <c r="BW252" s="48"/>
      <c r="BX252" s="24" cm="1">
        <f t="array" ref="BX252">SUM(BR252:BW252)</f>
        <v>0</v>
      </c>
      <c r="BY252" s="19"/>
      <c r="BZ252" s="19"/>
    </row>
    <row r="253" ht="26.35" customHeight="1">
      <c r="BQ253" t="s" s="32">
        <v>51</v>
      </c>
      <c r="BR253" s="55"/>
      <c r="BS253" s="48"/>
      <c r="BT253" s="48"/>
      <c r="BU253" s="48"/>
      <c r="BV253" s="48"/>
      <c r="BW253" s="48"/>
      <c r="BX253" s="24" cm="1">
        <f t="array" ref="BX253">SUM(BR253:BW253)</f>
        <v>0</v>
      </c>
      <c r="BY253" s="19"/>
      <c r="BZ253" s="19"/>
    </row>
    <row r="254" ht="26.35" customHeight="1">
      <c r="BQ254" t="s" s="95">
        <v>22</v>
      </c>
      <c r="BR254" s="134">
        <v>1</v>
      </c>
      <c r="BS254" s="133">
        <v>1</v>
      </c>
      <c r="BT254" s="48"/>
      <c r="BU254" s="48"/>
      <c r="BV254" s="48"/>
      <c r="BW254" s="48"/>
      <c r="BX254" s="24" cm="1">
        <f t="array" ref="BX254">SUM(BR254:BW254)</f>
        <v>2</v>
      </c>
      <c r="BY254" s="19"/>
      <c r="BZ254" s="19"/>
    </row>
    <row r="255" ht="20.7" customHeight="1">
      <c r="BQ255" t="s" s="95">
        <v>10</v>
      </c>
      <c r="BR255" s="55"/>
      <c r="BS255" s="133">
        <v>1</v>
      </c>
      <c r="BT255" s="133">
        <v>1</v>
      </c>
      <c r="BU255" s="133">
        <v>1</v>
      </c>
      <c r="BV255" s="48"/>
      <c r="BW255" s="48"/>
      <c r="BX255" s="24" cm="1">
        <f t="array" ref="BX255">SUM(BR255:BW255)</f>
        <v>3</v>
      </c>
      <c r="BY255" s="19"/>
      <c r="BZ255" s="19"/>
    </row>
    <row r="256" ht="20.7" customHeight="1">
      <c r="BQ256" t="s" s="95">
        <v>112</v>
      </c>
      <c r="BR256" s="55"/>
      <c r="BS256" s="48"/>
      <c r="BT256" s="48"/>
      <c r="BU256" s="48"/>
      <c r="BV256" s="48"/>
      <c r="BW256" s="48"/>
      <c r="BX256" s="24" cm="1">
        <f t="array" ref="BX256">SUM(BR256:BW256)</f>
        <v>0</v>
      </c>
      <c r="BY256" s="19"/>
      <c r="BZ256" s="19"/>
    </row>
    <row r="257" ht="20.7" customHeight="1">
      <c r="BQ257" t="s" s="95">
        <v>113</v>
      </c>
      <c r="BR257" s="55"/>
      <c r="BS257" s="48"/>
      <c r="BT257" s="48"/>
      <c r="BU257" s="48"/>
      <c r="BV257" s="48"/>
      <c r="BW257" s="48"/>
      <c r="BX257" s="24" cm="1">
        <f t="array" ref="BX257">SUM(BR257:BW257)</f>
        <v>0</v>
      </c>
      <c r="BY257" s="19"/>
      <c r="BZ257" s="19"/>
    </row>
    <row r="258" ht="26.35" customHeight="1">
      <c r="BQ258" t="s" s="44">
        <v>70</v>
      </c>
      <c r="BR258" s="55"/>
      <c r="BS258" s="48"/>
      <c r="BT258" s="48"/>
      <c r="BU258" s="48"/>
      <c r="BV258" s="48"/>
      <c r="BW258" s="48"/>
      <c r="BX258" s="24" cm="1">
        <f t="array" ref="BX258">SUM(BR258:BW258)</f>
        <v>0</v>
      </c>
      <c r="BY258" s="19"/>
      <c r="BZ258" s="19"/>
    </row>
    <row r="259" ht="38.7" customHeight="1">
      <c r="BQ259" t="s" s="44">
        <v>58</v>
      </c>
      <c r="BR259" s="55"/>
      <c r="BS259" s="48"/>
      <c r="BT259" s="48"/>
      <c r="BU259" s="48"/>
      <c r="BV259" s="48"/>
      <c r="BW259" s="48"/>
      <c r="BX259" s="24" cm="1">
        <f t="array" ref="BX259">SUM(BR259:BW259)</f>
        <v>0</v>
      </c>
      <c r="BY259" s="19"/>
      <c r="BZ259" s="19"/>
    </row>
    <row r="260" ht="26.35" customHeight="1">
      <c r="BQ260" t="s" s="44">
        <v>59</v>
      </c>
      <c r="BR260" s="55"/>
      <c r="BS260" s="48"/>
      <c r="BT260" s="48"/>
      <c r="BU260" s="48"/>
      <c r="BV260" s="48"/>
      <c r="BW260" s="48"/>
      <c r="BX260" s="24" cm="1">
        <f t="array" ref="BX260">SUM(BR260:BW260)</f>
        <v>0</v>
      </c>
      <c r="BY260" s="19"/>
      <c r="BZ260" s="19"/>
    </row>
    <row r="261" ht="39.8" customHeight="1">
      <c r="BQ261" t="s" s="44">
        <v>45</v>
      </c>
      <c r="BR261" s="55"/>
      <c r="BS261" s="82">
        <v>1</v>
      </c>
      <c r="BT261" s="58">
        <v>1</v>
      </c>
      <c r="BU261" s="48"/>
      <c r="BV261" s="48"/>
      <c r="BW261" s="82">
        <v>1</v>
      </c>
      <c r="BX261" s="24" cm="1">
        <f t="array" ref="BX261">SUM(BR261:BW261)</f>
        <v>3</v>
      </c>
      <c r="BY261" s="19"/>
      <c r="BZ261" s="19"/>
    </row>
    <row r="262" ht="39.8" customHeight="1">
      <c r="BQ262" t="s" s="44">
        <v>46</v>
      </c>
      <c r="BR262" s="55"/>
      <c r="BS262" s="48"/>
      <c r="BT262" s="48"/>
      <c r="BU262" s="48"/>
      <c r="BV262" s="48"/>
      <c r="BW262" s="82">
        <v>1</v>
      </c>
      <c r="BX262" s="24" cm="1">
        <f t="array" ref="BX262">SUM(BR262:BW262)</f>
        <v>1</v>
      </c>
      <c r="BY262" s="19"/>
      <c r="BZ262" s="19"/>
    </row>
    <row r="263" ht="39.8" customHeight="1">
      <c r="BQ263" t="s" s="44">
        <v>191</v>
      </c>
      <c r="BR263" s="55"/>
      <c r="BS263" s="48"/>
      <c r="BT263" s="48"/>
      <c r="BU263" s="48"/>
      <c r="BV263" s="48"/>
      <c r="BW263" s="82">
        <v>1</v>
      </c>
      <c r="BX263" s="24" cm="1">
        <f t="array" ref="BX263">SUM(BR263:BW263)</f>
        <v>1</v>
      </c>
      <c r="BY263" s="19"/>
      <c r="BZ263" s="19"/>
    </row>
    <row r="264" ht="26.35" customHeight="1">
      <c r="BQ264" t="s" s="44">
        <v>91</v>
      </c>
      <c r="BR264" s="55"/>
      <c r="BS264" s="48"/>
      <c r="BT264" s="48"/>
      <c r="BU264" s="48"/>
      <c r="BV264" s="48"/>
      <c r="BW264" s="48"/>
      <c r="BX264" s="24" cm="1">
        <f t="array" ref="BX264">SUM(BR264:BW264)</f>
        <v>0</v>
      </c>
      <c r="BY264" s="19"/>
      <c r="BZ264" s="19"/>
    </row>
    <row r="265" ht="26.35" customHeight="1">
      <c r="BQ265" t="s" s="44">
        <v>48</v>
      </c>
      <c r="BR265" s="55"/>
      <c r="BS265" s="48"/>
      <c r="BT265" s="58">
        <v>1</v>
      </c>
      <c r="BU265" s="48"/>
      <c r="BV265" s="48"/>
      <c r="BW265" s="48"/>
      <c r="BX265" s="24" cm="1">
        <f t="array" ref="BX265">SUM(BR265:BW265)</f>
        <v>1</v>
      </c>
      <c r="BY265" s="19"/>
      <c r="BZ265" s="19"/>
    </row>
    <row r="266" ht="26.35" customHeight="1">
      <c r="BQ266" t="s" s="44">
        <v>49</v>
      </c>
      <c r="BR266" s="55"/>
      <c r="BS266" s="48"/>
      <c r="BT266" s="58">
        <v>1</v>
      </c>
      <c r="BU266" s="48"/>
      <c r="BV266" s="48"/>
      <c r="BW266" s="48"/>
      <c r="BX266" s="24" cm="1">
        <f t="array" ref="BX266">SUM(BR266:BW266)</f>
        <v>1</v>
      </c>
      <c r="BY266" s="19"/>
      <c r="BZ266" s="19"/>
    </row>
    <row r="267" ht="26.35" customHeight="1">
      <c r="BQ267" t="s" s="44">
        <v>101</v>
      </c>
      <c r="BR267" s="55"/>
      <c r="BS267" s="48"/>
      <c r="BT267" s="48"/>
      <c r="BU267" s="48"/>
      <c r="BV267" s="48"/>
      <c r="BW267" s="48"/>
      <c r="BX267" s="24" cm="1">
        <f t="array" ref="BX267">SUM(BR267:BW267)</f>
        <v>0</v>
      </c>
      <c r="BY267" s="19"/>
      <c r="BZ267" s="19"/>
    </row>
    <row r="268" ht="26.35" customHeight="1">
      <c r="BQ268" t="s" s="32">
        <v>115</v>
      </c>
      <c r="BR268" s="55"/>
      <c r="BS268" s="48"/>
      <c r="BT268" s="58">
        <v>1</v>
      </c>
      <c r="BU268" s="48"/>
      <c r="BV268" s="48"/>
      <c r="BW268" s="48"/>
      <c r="BX268" s="24" cm="1">
        <f t="array" ref="BX268">SUM(BR268:BW268)</f>
        <v>1</v>
      </c>
      <c r="BY268" s="19"/>
      <c r="BZ268" s="19"/>
    </row>
    <row r="269" ht="26.35" customHeight="1">
      <c r="BQ269" t="s" s="32">
        <v>140</v>
      </c>
      <c r="BR269" s="55"/>
      <c r="BS269" s="48"/>
      <c r="BT269" s="48"/>
      <c r="BU269" s="48"/>
      <c r="BV269" s="48"/>
      <c r="BW269" s="48"/>
      <c r="BX269" s="24" cm="1">
        <f t="array" ref="BX269">SUM(BR269:BW269)</f>
        <v>0</v>
      </c>
      <c r="BY269" s="19"/>
      <c r="BZ269" s="19"/>
    </row>
    <row r="270" ht="26.35" customHeight="1">
      <c r="BQ270" t="s" s="32">
        <v>154</v>
      </c>
      <c r="BR270" s="55"/>
      <c r="BS270" s="48"/>
      <c r="BT270" s="48"/>
      <c r="BU270" s="48"/>
      <c r="BV270" s="48"/>
      <c r="BW270" s="48"/>
      <c r="BX270" s="24" cm="1">
        <f t="array" ref="BX270">SUM(BR270:BW270)</f>
        <v>0</v>
      </c>
      <c r="BY270" s="19"/>
      <c r="BZ270" s="19"/>
    </row>
    <row r="271" ht="26.35" customHeight="1">
      <c r="BQ271" t="s" s="32">
        <v>155</v>
      </c>
      <c r="BR271" s="55"/>
      <c r="BS271" s="48"/>
      <c r="BT271" s="48"/>
      <c r="BU271" s="48"/>
      <c r="BV271" s="48"/>
      <c r="BW271" s="48"/>
      <c r="BX271" s="24" cm="1">
        <f t="array" ref="BX271">SUM(BR271:BW271)</f>
        <v>0</v>
      </c>
      <c r="BY271" s="19"/>
      <c r="BZ271" s="19"/>
    </row>
    <row r="272" ht="26.35" customHeight="1">
      <c r="BQ272" t="s" s="32">
        <v>156</v>
      </c>
      <c r="BR272" s="55"/>
      <c r="BS272" s="48"/>
      <c r="BT272" s="48"/>
      <c r="BU272" s="48"/>
      <c r="BV272" s="48"/>
      <c r="BW272" s="48"/>
      <c r="BX272" s="24" cm="1">
        <f t="array" ref="BX272">SUM(BR272:BW272)</f>
        <v>0</v>
      </c>
      <c r="BY272" s="19"/>
      <c r="BZ272" s="19"/>
    </row>
    <row r="273" ht="26.35" customHeight="1">
      <c r="BQ273" t="s" s="32">
        <v>209</v>
      </c>
      <c r="BR273" s="55"/>
      <c r="BS273" s="48"/>
      <c r="BT273" s="48"/>
      <c r="BU273" s="48"/>
      <c r="BV273" s="48"/>
      <c r="BW273" s="48"/>
      <c r="BX273" s="24" cm="1">
        <f t="array" ref="BX273">SUM(BR273:BW273)</f>
        <v>0</v>
      </c>
      <c r="BY273" s="19"/>
      <c r="BZ273" s="19"/>
    </row>
    <row r="274" ht="26.35" customHeight="1">
      <c r="BQ274" t="s" s="32">
        <v>102</v>
      </c>
      <c r="BR274" s="55"/>
      <c r="BS274" s="184">
        <v>2</v>
      </c>
      <c r="BT274" s="184">
        <v>1</v>
      </c>
      <c r="BU274" s="184">
        <v>2</v>
      </c>
      <c r="BV274" s="48"/>
      <c r="BW274" s="184">
        <v>1</v>
      </c>
      <c r="BX274" s="24" cm="1">
        <f t="array" ref="BX274">SUM(BR274:BW274)</f>
        <v>6</v>
      </c>
      <c r="BY274" s="19"/>
      <c r="BZ274" s="19"/>
    </row>
    <row r="275" ht="32.35" customHeight="1">
      <c r="BQ275" t="s" s="49">
        <v>30</v>
      </c>
      <c r="BR275" s="12" cm="1">
        <f t="array" ref="BR275">SUM(BR237:BR274)</f>
        <v>1</v>
      </c>
      <c r="BS275" s="24" cm="1">
        <f t="array" ref="BS275">SUM(BS237:BS274)</f>
        <v>7</v>
      </c>
      <c r="BT275" s="24" cm="1">
        <f t="array" ref="BT275">SUM(BT237:BT274)</f>
        <v>7</v>
      </c>
      <c r="BU275" s="24" cm="1">
        <f t="array" ref="BU275">SUM(BU237:BU274)</f>
        <v>3</v>
      </c>
      <c r="BV275" s="24" cm="1">
        <f t="array" ref="BV275">SUM(BV237:BV274)</f>
        <v>1</v>
      </c>
      <c r="BW275" s="24" cm="1">
        <f t="array" ref="BW275">SUM(BW237:BW274)</f>
        <v>4</v>
      </c>
      <c r="BX275" s="24" cm="1">
        <f t="array" ref="BX275">SUM(BX237:BX274)</f>
        <v>23</v>
      </c>
      <c r="BY275" s="19"/>
      <c r="BZ275" s="19"/>
    </row>
    <row r="277" ht="27.65" customHeight="1">
      <c r="CA277" t="s" s="2">
        <v>92</v>
      </c>
      <c r="CB277" s="2"/>
      <c r="CC277" s="2"/>
      <c r="CD277" s="2"/>
      <c r="CE277" s="2"/>
      <c r="CF277" s="2"/>
      <c r="CG277" s="2"/>
      <c r="CH277" s="2"/>
      <c r="CI277" s="2"/>
      <c r="CJ277" s="2"/>
    </row>
    <row r="278" ht="41.7" customHeight="1">
      <c r="CA278" s="35"/>
      <c r="CB278" t="s" s="3">
        <v>210</v>
      </c>
      <c r="CC278" t="s" s="3">
        <v>211</v>
      </c>
      <c r="CD278" t="s" s="3">
        <v>212</v>
      </c>
      <c r="CE278" t="s" s="3">
        <v>213</v>
      </c>
      <c r="CF278" t="s" s="3">
        <v>214</v>
      </c>
      <c r="CG278" t="s" s="3">
        <v>215</v>
      </c>
      <c r="CH278" t="s" s="3">
        <v>216</v>
      </c>
      <c r="CI278" t="s" s="3">
        <v>68</v>
      </c>
      <c r="CJ278" t="s" s="3">
        <v>69</v>
      </c>
    </row>
    <row r="279" ht="26.25" customHeight="1">
      <c r="CA279" t="s" s="6">
        <v>55</v>
      </c>
      <c r="CB279" s="136"/>
      <c r="CC279" s="123"/>
      <c r="CD279" s="123"/>
      <c r="CE279" s="123"/>
      <c r="CF279" s="123"/>
      <c r="CG279" s="123"/>
      <c r="CH279" s="123"/>
      <c r="CI279" s="123"/>
      <c r="CJ279" s="37"/>
    </row>
    <row r="280" ht="25.95" customHeight="1">
      <c r="CA280" t="s" s="11">
        <v>56</v>
      </c>
      <c r="CB280" s="55"/>
      <c r="CC280" s="48"/>
      <c r="CD280" s="48"/>
      <c r="CE280" s="48"/>
      <c r="CF280" s="48"/>
      <c r="CG280" s="48"/>
      <c r="CH280" s="48"/>
      <c r="CI280" s="48"/>
      <c r="CJ280" s="19"/>
    </row>
    <row r="281" ht="25.95" customHeight="1">
      <c r="CA281" t="s" s="95">
        <v>35</v>
      </c>
      <c r="CB281" s="55"/>
      <c r="CC281" s="48"/>
      <c r="CD281" s="48"/>
      <c r="CE281" s="48"/>
      <c r="CF281" s="48"/>
      <c r="CG281" s="48"/>
      <c r="CH281" s="48"/>
      <c r="CI281" s="48"/>
      <c r="CJ281" s="19"/>
    </row>
    <row r="282" ht="25.95" customHeight="1">
      <c r="CA282" t="s" s="11">
        <v>16</v>
      </c>
      <c r="CB282" s="55"/>
      <c r="CC282" s="48"/>
      <c r="CD282" s="48"/>
      <c r="CE282" s="48"/>
      <c r="CF282" s="48"/>
      <c r="CG282" s="48"/>
      <c r="CH282" s="48"/>
      <c r="CI282" s="48"/>
      <c r="CJ282" s="19"/>
    </row>
    <row r="283" ht="25.95" customHeight="1">
      <c r="CA283" t="s" s="11">
        <v>17</v>
      </c>
      <c r="CB283" s="55"/>
      <c r="CC283" s="48"/>
      <c r="CD283" s="48"/>
      <c r="CE283" s="48"/>
      <c r="CF283" s="48"/>
      <c r="CG283" s="48"/>
      <c r="CH283" s="48"/>
      <c r="CI283" s="48"/>
      <c r="CJ283" s="19"/>
    </row>
    <row r="284" ht="41.5" customHeight="1">
      <c r="CA284" t="s" s="11">
        <v>18</v>
      </c>
      <c r="CB284" s="55"/>
      <c r="CC284" s="48"/>
      <c r="CD284" s="48"/>
      <c r="CE284" s="48"/>
      <c r="CF284" s="48"/>
      <c r="CG284" s="48"/>
      <c r="CH284" s="48"/>
      <c r="CI284" s="48"/>
      <c r="CJ284" s="19"/>
    </row>
    <row r="285" ht="25.95" customHeight="1">
      <c r="CA285" t="s" s="11">
        <v>19</v>
      </c>
      <c r="CB285" s="55"/>
      <c r="CC285" s="48"/>
      <c r="CD285" s="48"/>
      <c r="CE285" s="48"/>
      <c r="CF285" s="48"/>
      <c r="CG285" s="48"/>
      <c r="CH285" s="48"/>
      <c r="CI285" s="48"/>
      <c r="CJ285" s="19"/>
    </row>
    <row r="286" ht="25.95" customHeight="1">
      <c r="CA286" t="s" s="11">
        <v>20</v>
      </c>
      <c r="CB286" s="55"/>
      <c r="CC286" s="48"/>
      <c r="CD286" s="48"/>
      <c r="CE286" s="48"/>
      <c r="CF286" s="48"/>
      <c r="CG286" s="48"/>
      <c r="CH286" s="48"/>
      <c r="CI286" s="48"/>
      <c r="CJ286" s="19"/>
    </row>
    <row r="287" ht="25.95" customHeight="1">
      <c r="CA287" t="s" s="11">
        <v>21</v>
      </c>
      <c r="CB287" s="55"/>
      <c r="CC287" s="48"/>
      <c r="CD287" s="48"/>
      <c r="CE287" s="48"/>
      <c r="CF287" s="48"/>
      <c r="CG287" s="48"/>
      <c r="CH287" s="48"/>
      <c r="CI287" s="48"/>
      <c r="CJ287" s="19"/>
    </row>
    <row r="288" ht="25.95" customHeight="1">
      <c r="CA288" t="s" s="11">
        <v>27</v>
      </c>
      <c r="CB288" s="55"/>
      <c r="CC288" s="48"/>
      <c r="CD288" s="48"/>
      <c r="CE288" s="48"/>
      <c r="CF288" s="48"/>
      <c r="CG288" s="48"/>
      <c r="CH288" s="78"/>
      <c r="CI288" s="78"/>
      <c r="CJ288" s="27"/>
    </row>
    <row r="289" ht="25.95" customHeight="1">
      <c r="CA289" t="s" s="11">
        <v>42</v>
      </c>
      <c r="CB289" s="55"/>
      <c r="CC289" s="48"/>
      <c r="CD289" s="48"/>
      <c r="CE289" s="48"/>
      <c r="CF289" s="48"/>
      <c r="CG289" s="48"/>
      <c r="CH289" s="48"/>
      <c r="CI289" s="48"/>
      <c r="CJ289" s="19"/>
    </row>
    <row r="290" ht="25.95" customHeight="1">
      <c r="CA290" t="s" s="11">
        <v>43</v>
      </c>
      <c r="CB290" s="55"/>
      <c r="CC290" s="48"/>
      <c r="CD290" s="48"/>
      <c r="CE290" s="48"/>
      <c r="CF290" s="48"/>
      <c r="CG290" s="48"/>
      <c r="CH290" s="48"/>
      <c r="CI290" s="48"/>
      <c r="CJ290" s="19"/>
    </row>
    <row r="291" ht="25.95" customHeight="1">
      <c r="CA291" t="s" s="11">
        <v>41</v>
      </c>
      <c r="CB291" s="55"/>
      <c r="CC291" s="48"/>
      <c r="CD291" s="48"/>
      <c r="CE291" s="48"/>
      <c r="CF291" s="48"/>
      <c r="CG291" s="48"/>
      <c r="CH291" s="48"/>
      <c r="CI291" s="48"/>
      <c r="CJ291" s="19"/>
    </row>
    <row r="292" ht="25.95" customHeight="1">
      <c r="CA292" t="s" s="11">
        <v>32</v>
      </c>
      <c r="CB292" s="55"/>
      <c r="CC292" s="48"/>
      <c r="CD292" s="48"/>
      <c r="CE292" s="48"/>
      <c r="CF292" s="48"/>
      <c r="CG292" s="48"/>
      <c r="CH292" s="48"/>
      <c r="CI292" s="48"/>
      <c r="CJ292" s="19"/>
    </row>
    <row r="293" ht="25.95" customHeight="1">
      <c r="CA293" t="s" s="64">
        <v>50</v>
      </c>
      <c r="CB293" s="55"/>
      <c r="CC293" s="48"/>
      <c r="CD293" s="48"/>
      <c r="CE293" s="48"/>
      <c r="CF293" s="48"/>
      <c r="CG293" s="48"/>
      <c r="CH293" s="48"/>
      <c r="CI293" s="48"/>
      <c r="CJ293" s="19"/>
    </row>
    <row r="294" ht="25.95" customHeight="1">
      <c r="CA294" t="s" s="64">
        <v>52</v>
      </c>
      <c r="CB294" s="55"/>
      <c r="CC294" s="48"/>
      <c r="CD294" s="48"/>
      <c r="CE294" s="48"/>
      <c r="CF294" s="48"/>
      <c r="CG294" s="48"/>
      <c r="CH294" s="48"/>
      <c r="CI294" s="48"/>
      <c r="CJ294" s="19"/>
    </row>
    <row r="295" ht="45.35" customHeight="1">
      <c r="CA295" t="s" s="64">
        <v>51</v>
      </c>
      <c r="CB295" s="55"/>
      <c r="CC295" s="48"/>
      <c r="CD295" s="48"/>
      <c r="CE295" s="48"/>
      <c r="CF295" s="48"/>
      <c r="CG295" s="48"/>
      <c r="CH295" s="48"/>
      <c r="CI295" s="48"/>
      <c r="CJ295" s="19"/>
    </row>
    <row r="296" ht="25.95" customHeight="1">
      <c r="CA296" t="s" s="95">
        <v>22</v>
      </c>
      <c r="CB296" s="55"/>
      <c r="CC296" s="48"/>
      <c r="CD296" s="48"/>
      <c r="CE296" s="48"/>
      <c r="CF296" s="48"/>
      <c r="CG296" s="48"/>
      <c r="CH296" s="48"/>
      <c r="CI296" s="48"/>
      <c r="CJ296" s="19"/>
    </row>
    <row r="297" ht="25.95" customHeight="1">
      <c r="CA297" t="s" s="95">
        <v>10</v>
      </c>
      <c r="CB297" s="55"/>
      <c r="CC297" s="48"/>
      <c r="CD297" s="48"/>
      <c r="CE297" s="48"/>
      <c r="CF297" s="48"/>
      <c r="CG297" s="48"/>
      <c r="CH297" s="48"/>
      <c r="CI297" s="48"/>
      <c r="CJ297" s="19"/>
    </row>
    <row r="298" ht="25.95" customHeight="1">
      <c r="CA298" t="s" s="95">
        <v>112</v>
      </c>
      <c r="CB298" s="55"/>
      <c r="CC298" s="48"/>
      <c r="CD298" s="48"/>
      <c r="CE298" s="48"/>
      <c r="CF298" s="48"/>
      <c r="CG298" s="48"/>
      <c r="CH298" s="48"/>
      <c r="CI298" s="48"/>
      <c r="CJ298" s="19"/>
    </row>
    <row r="299" ht="25.95" customHeight="1">
      <c r="CA299" t="s" s="95">
        <v>113</v>
      </c>
      <c r="CB299" s="55"/>
      <c r="CC299" s="48"/>
      <c r="CD299" s="48"/>
      <c r="CE299" s="48"/>
      <c r="CF299" s="48"/>
      <c r="CG299" s="48"/>
      <c r="CH299" s="48"/>
      <c r="CI299" s="48"/>
      <c r="CJ299" s="19"/>
    </row>
    <row r="300" ht="25.95" customHeight="1">
      <c r="CA300" t="s" s="44">
        <v>70</v>
      </c>
      <c r="CB300" s="55"/>
      <c r="CC300" s="48"/>
      <c r="CD300" s="48"/>
      <c r="CE300" s="48"/>
      <c r="CF300" s="48"/>
      <c r="CG300" s="48"/>
      <c r="CH300" s="48"/>
      <c r="CI300" s="48"/>
      <c r="CJ300" s="19"/>
    </row>
    <row r="301" ht="38.2" customHeight="1">
      <c r="CA301" t="s" s="44">
        <v>58</v>
      </c>
      <c r="CB301" s="55"/>
      <c r="CC301" s="48"/>
      <c r="CD301" s="48"/>
      <c r="CE301" s="48"/>
      <c r="CF301" s="48"/>
      <c r="CG301" s="48"/>
      <c r="CH301" s="48"/>
      <c r="CI301" s="48"/>
      <c r="CJ301" s="19"/>
    </row>
    <row r="302" ht="41.45" customHeight="1">
      <c r="CA302" t="s" s="44">
        <v>59</v>
      </c>
      <c r="CB302" s="55"/>
      <c r="CC302" s="48"/>
      <c r="CD302" s="48"/>
      <c r="CE302" s="48"/>
      <c r="CF302" s="48"/>
      <c r="CG302" s="48"/>
      <c r="CH302" s="78"/>
      <c r="CI302" s="78"/>
      <c r="CJ302" s="27"/>
    </row>
    <row r="303" ht="25.95" customHeight="1">
      <c r="CA303" t="s" s="44">
        <v>45</v>
      </c>
      <c r="CB303" s="55"/>
      <c r="CC303" s="48"/>
      <c r="CD303" s="189">
        <v>1</v>
      </c>
      <c r="CE303" s="48"/>
      <c r="CF303" s="48"/>
      <c r="CG303" s="48"/>
      <c r="CH303" s="48"/>
      <c r="CI303" s="48"/>
      <c r="CJ303" s="19"/>
    </row>
    <row r="304" ht="37.6" customHeight="1">
      <c r="CA304" t="s" s="44">
        <v>46</v>
      </c>
      <c r="CB304" s="55"/>
      <c r="CC304" s="48"/>
      <c r="CD304" s="48"/>
      <c r="CE304" s="48"/>
      <c r="CF304" s="48"/>
      <c r="CG304" s="48"/>
      <c r="CH304" s="48"/>
      <c r="CI304" s="48"/>
      <c r="CJ304" s="19"/>
    </row>
    <row r="305" ht="37.6" customHeight="1">
      <c r="CA305" t="s" s="44">
        <v>191</v>
      </c>
      <c r="CB305" s="55"/>
      <c r="CC305" s="48"/>
      <c r="CD305" s="48"/>
      <c r="CE305" s="48"/>
      <c r="CF305" s="48"/>
      <c r="CG305" s="48"/>
      <c r="CH305" s="48"/>
      <c r="CI305" s="48"/>
      <c r="CJ305" s="19"/>
    </row>
    <row r="306" ht="25.95" customHeight="1">
      <c r="CA306" t="s" s="64">
        <v>91</v>
      </c>
      <c r="CB306" s="55"/>
      <c r="CC306" s="48"/>
      <c r="CD306" s="48"/>
      <c r="CE306" s="48"/>
      <c r="CF306" s="48"/>
      <c r="CG306" s="48"/>
      <c r="CH306" s="48"/>
      <c r="CI306" s="48"/>
      <c r="CJ306" s="19"/>
    </row>
    <row r="307" ht="25.95" customHeight="1">
      <c r="CA307" t="s" s="21">
        <v>48</v>
      </c>
      <c r="CB307" s="55"/>
      <c r="CC307" s="48"/>
      <c r="CD307" s="189">
        <v>1</v>
      </c>
      <c r="CE307" s="48"/>
      <c r="CF307" s="48"/>
      <c r="CG307" s="48"/>
      <c r="CH307" s="48"/>
      <c r="CI307" s="48"/>
      <c r="CJ307" s="19"/>
    </row>
    <row r="308" ht="25.95" customHeight="1">
      <c r="CA308" t="s" s="21">
        <v>49</v>
      </c>
      <c r="CB308" s="55"/>
      <c r="CC308" s="48"/>
      <c r="CD308" s="189">
        <v>1</v>
      </c>
      <c r="CE308" s="48"/>
      <c r="CF308" s="48"/>
      <c r="CG308" s="48"/>
      <c r="CH308" s="48"/>
      <c r="CI308" s="48"/>
      <c r="CJ308" s="19"/>
    </row>
    <row r="309" ht="55.8" customHeight="1">
      <c r="CA309" t="s" s="44">
        <v>101</v>
      </c>
      <c r="CB309" s="55"/>
      <c r="CC309" s="48"/>
      <c r="CD309" s="48"/>
      <c r="CE309" s="48"/>
      <c r="CF309" s="48"/>
      <c r="CG309" s="48"/>
      <c r="CH309" s="48"/>
      <c r="CI309" s="48"/>
      <c r="CJ309" s="19"/>
    </row>
    <row r="310" ht="39.05" customHeight="1">
      <c r="CA310" t="s" s="32">
        <v>115</v>
      </c>
      <c r="CB310" s="55"/>
      <c r="CC310" s="48"/>
      <c r="CD310" s="189">
        <v>1</v>
      </c>
      <c r="CE310" s="48"/>
      <c r="CF310" s="48"/>
      <c r="CG310" s="48"/>
      <c r="CH310" s="48"/>
      <c r="CI310" s="48"/>
      <c r="CJ310" s="19"/>
    </row>
    <row r="311" ht="28.2" customHeight="1">
      <c r="CA311" t="s" s="32">
        <v>109</v>
      </c>
      <c r="CB311" s="55"/>
      <c r="CC311" s="48"/>
      <c r="CD311" s="48"/>
      <c r="CE311" s="48"/>
      <c r="CF311" s="48"/>
      <c r="CG311" s="48"/>
      <c r="CH311" s="48"/>
      <c r="CI311" s="48"/>
      <c r="CJ311" s="19"/>
    </row>
    <row r="312" ht="28.2" customHeight="1">
      <c r="CA312" t="s" s="32">
        <v>154</v>
      </c>
      <c r="CB312" s="55"/>
      <c r="CC312" s="48"/>
      <c r="CD312" s="48"/>
      <c r="CE312" s="48"/>
      <c r="CF312" s="48"/>
      <c r="CG312" s="48"/>
      <c r="CH312" s="48"/>
      <c r="CI312" s="48"/>
      <c r="CJ312" s="19"/>
    </row>
    <row r="313" ht="28.2" customHeight="1">
      <c r="CA313" t="s" s="32">
        <v>155</v>
      </c>
      <c r="CB313" s="55"/>
      <c r="CC313" s="48"/>
      <c r="CD313" s="48"/>
      <c r="CE313" s="48"/>
      <c r="CF313" s="48"/>
      <c r="CG313" s="48"/>
      <c r="CH313" s="48"/>
      <c r="CI313" s="48"/>
      <c r="CJ313" s="19"/>
    </row>
    <row r="314" ht="28.2" customHeight="1">
      <c r="CA314" t="s" s="32">
        <v>156</v>
      </c>
      <c r="CB314" s="55"/>
      <c r="CC314" s="48"/>
      <c r="CD314" s="48"/>
      <c r="CE314" s="48"/>
      <c r="CF314" s="48"/>
      <c r="CG314" s="48"/>
      <c r="CH314" s="48"/>
      <c r="CI314" s="48"/>
      <c r="CJ314" s="19"/>
    </row>
    <row r="315" ht="21.5" customHeight="1">
      <c r="CA315" t="s" s="32">
        <v>209</v>
      </c>
      <c r="CB315" s="55"/>
      <c r="CC315" s="48"/>
      <c r="CD315" s="48"/>
      <c r="CE315" s="48"/>
      <c r="CF315" s="48"/>
      <c r="CG315" s="48"/>
      <c r="CH315" s="48"/>
      <c r="CI315" s="48"/>
      <c r="CJ315" s="128"/>
    </row>
    <row r="316" ht="21.5" customHeight="1">
      <c r="CA316" t="s" s="32">
        <v>102</v>
      </c>
      <c r="CB316" s="55"/>
      <c r="CC316" s="48"/>
      <c r="CD316" s="48"/>
      <c r="CE316" s="48"/>
      <c r="CF316" s="48"/>
      <c r="CG316" s="48"/>
      <c r="CH316" s="48"/>
      <c r="CI316" s="48"/>
      <c r="CJ316" s="128"/>
    </row>
    <row r="317" ht="21.5" customHeight="1">
      <c r="CA317" t="s" s="49">
        <v>30</v>
      </c>
      <c r="CB317" s="12" cm="1">
        <f t="array" ref="CB317">SUM(CB279:CB315)</f>
        <v>0</v>
      </c>
      <c r="CC317" s="24" cm="1">
        <f t="array" ref="CC317">SUM(CC279:CC315)</f>
        <v>0</v>
      </c>
      <c r="CD317" s="24" cm="1">
        <f t="array" ref="CD317">SUM(CD279:CD315)</f>
        <v>4</v>
      </c>
      <c r="CE317" s="24" cm="1">
        <f t="array" ref="CE317">SUM(CE279:CE315)</f>
        <v>0</v>
      </c>
      <c r="CF317" s="24" cm="1">
        <f t="array" ref="CF317">SUM(CF279:CF315)</f>
        <v>0</v>
      </c>
      <c r="CG317" s="24" cm="1">
        <f t="array" ref="CG317">SUM(CG279:CG315)</f>
        <v>0</v>
      </c>
      <c r="CH317" s="24" cm="1">
        <f t="array" ref="CH317">SUM(CB317:CG317)</f>
        <v>4</v>
      </c>
      <c r="CI317" s="24" cm="1">
        <f t="array" ref="CI317">SUM(CI279:CI315)</f>
        <v>0</v>
      </c>
      <c r="CJ317" s="24" cm="1">
        <f t="array" ref="CJ317">SUM(CJ279:CJ315)</f>
        <v>0</v>
      </c>
    </row>
    <row r="319" ht="27.65" customHeight="1">
      <c r="CK319" t="s" s="2">
        <v>94</v>
      </c>
      <c r="CL319" s="2"/>
      <c r="CM319" s="2"/>
      <c r="CN319" s="2"/>
      <c r="CO319" s="2"/>
      <c r="CP319" s="2"/>
      <c r="CQ319" s="2"/>
      <c r="CR319" s="2"/>
      <c r="CS319" s="2"/>
      <c r="CT319" s="2"/>
    </row>
    <row r="320" ht="48.15" customHeight="1">
      <c r="CK320" s="35"/>
      <c r="CL320" t="s" s="3">
        <v>217</v>
      </c>
      <c r="CM320" t="s" s="3">
        <v>218</v>
      </c>
      <c r="CN320" t="s" s="3">
        <v>219</v>
      </c>
      <c r="CO320" t="s" s="3">
        <v>220</v>
      </c>
      <c r="CP320" t="s" s="3">
        <v>221</v>
      </c>
      <c r="CQ320" t="s" s="3">
        <v>222</v>
      </c>
      <c r="CR320" t="s" s="3">
        <v>53</v>
      </c>
      <c r="CS320" t="s" s="3">
        <v>67</v>
      </c>
      <c r="CT320" t="s" s="3">
        <v>160</v>
      </c>
    </row>
    <row r="321" ht="30.25" customHeight="1">
      <c r="CK321" t="s" s="6">
        <v>55</v>
      </c>
      <c r="CL321" s="136"/>
      <c r="CM321" s="191">
        <v>1</v>
      </c>
      <c r="CN321" s="123"/>
      <c r="CO321" s="191">
        <v>1</v>
      </c>
      <c r="CP321" s="191">
        <v>1</v>
      </c>
      <c r="CQ321" s="123"/>
      <c r="CR321" s="47" cm="1">
        <f t="array" ref="CR321">SUM(CL321:CQ321)</f>
        <v>3</v>
      </c>
      <c r="CS321" s="37"/>
      <c r="CT321" s="37"/>
    </row>
    <row r="322" ht="29.95" customHeight="1">
      <c r="CK322" t="s" s="11">
        <v>56</v>
      </c>
      <c r="CL322" s="55"/>
      <c r="CM322" s="82">
        <v>1</v>
      </c>
      <c r="CN322" s="48"/>
      <c r="CO322" s="82">
        <v>1</v>
      </c>
      <c r="CP322" s="48"/>
      <c r="CQ322" s="48"/>
      <c r="CR322" s="24" cm="1">
        <f t="array" ref="CR322">SUM(CL322:CQ322)</f>
        <v>2</v>
      </c>
      <c r="CS322" s="19"/>
      <c r="CT322" s="19"/>
    </row>
    <row r="323" ht="29.95" customHeight="1">
      <c r="CK323" t="s" s="11">
        <v>16</v>
      </c>
      <c r="CL323" s="53">
        <v>1</v>
      </c>
      <c r="CM323" s="82">
        <v>1</v>
      </c>
      <c r="CN323" s="82">
        <v>1</v>
      </c>
      <c r="CO323" s="82">
        <v>1</v>
      </c>
      <c r="CP323" s="82">
        <v>1</v>
      </c>
      <c r="CQ323" s="48"/>
      <c r="CR323" s="24" cm="1">
        <f t="array" ref="CR323">SUM(CL323:CQ323)</f>
        <v>5</v>
      </c>
      <c r="CS323" s="19"/>
      <c r="CT323" s="19"/>
    </row>
    <row r="324" ht="47.85" customHeight="1">
      <c r="CK324" t="s" s="11">
        <v>17</v>
      </c>
      <c r="CL324" s="55"/>
      <c r="CM324" s="48"/>
      <c r="CN324" s="48"/>
      <c r="CO324" s="78"/>
      <c r="CP324" s="48"/>
      <c r="CQ324" s="48"/>
      <c r="CR324" s="24" cm="1">
        <f t="array" ref="CR324">SUM(CL324:CQ324)</f>
        <v>0</v>
      </c>
      <c r="CS324" s="19"/>
      <c r="CT324" s="19"/>
    </row>
    <row r="325" ht="29.95" customHeight="1">
      <c r="CK325" t="s" s="11">
        <v>18</v>
      </c>
      <c r="CL325" s="55"/>
      <c r="CM325" s="48"/>
      <c r="CN325" s="82">
        <v>1</v>
      </c>
      <c r="CO325" s="82">
        <v>1</v>
      </c>
      <c r="CP325" s="48"/>
      <c r="CQ325" s="82">
        <v>1</v>
      </c>
      <c r="CR325" s="24" cm="1">
        <f t="array" ref="CR325">SUM(CL325:CQ325)</f>
        <v>3</v>
      </c>
      <c r="CS325" s="19"/>
      <c r="CT325" s="24">
        <v>1</v>
      </c>
    </row>
    <row r="326" ht="29.95" customHeight="1">
      <c r="CK326" t="s" s="11">
        <v>19</v>
      </c>
      <c r="CL326" s="55"/>
      <c r="CM326" s="48"/>
      <c r="CN326" s="78"/>
      <c r="CO326" s="78"/>
      <c r="CP326" s="48"/>
      <c r="CQ326" s="48"/>
      <c r="CR326" s="24" cm="1">
        <f t="array" ref="CR326">SUM(CL326:CQ326)</f>
        <v>0</v>
      </c>
      <c r="CS326" s="19"/>
      <c r="CT326" s="19"/>
    </row>
    <row r="327" ht="29.95" customHeight="1">
      <c r="CK327" t="s" s="11">
        <v>20</v>
      </c>
      <c r="CL327" s="55"/>
      <c r="CM327" s="48"/>
      <c r="CN327" s="48"/>
      <c r="CO327" s="78"/>
      <c r="CP327" s="48"/>
      <c r="CQ327" s="48"/>
      <c r="CR327" s="24" cm="1">
        <f t="array" ref="CR327">SUM(CL327:CQ327)</f>
        <v>0</v>
      </c>
      <c r="CS327" s="19"/>
      <c r="CT327" s="19"/>
    </row>
    <row r="328" ht="29.95" customHeight="1">
      <c r="CK328" t="s" s="11">
        <v>21</v>
      </c>
      <c r="CL328" s="55"/>
      <c r="CM328" s="48"/>
      <c r="CN328" s="48"/>
      <c r="CO328" s="78"/>
      <c r="CP328" s="48"/>
      <c r="CQ328" s="48"/>
      <c r="CR328" s="24" cm="1">
        <f t="array" ref="CR328">SUM(CL328:CQ328)</f>
        <v>0</v>
      </c>
      <c r="CS328" s="19"/>
      <c r="CT328" s="19"/>
    </row>
    <row r="329" ht="29.95" customHeight="1">
      <c r="CK329" t="s" s="11">
        <v>27</v>
      </c>
      <c r="CL329" s="53">
        <v>1</v>
      </c>
      <c r="CM329" s="48"/>
      <c r="CN329" s="82">
        <v>1</v>
      </c>
      <c r="CO329" s="78"/>
      <c r="CP329" s="82">
        <v>1</v>
      </c>
      <c r="CQ329" s="48"/>
      <c r="CR329" s="24" cm="1">
        <f t="array" ref="CR329">SUM(CL329:CQ329)</f>
        <v>3</v>
      </c>
      <c r="CS329" s="19"/>
      <c r="CT329" s="19"/>
    </row>
    <row r="330" ht="29.95" customHeight="1">
      <c r="CK330" t="s" s="11">
        <v>42</v>
      </c>
      <c r="CL330" s="55"/>
      <c r="CM330" s="48"/>
      <c r="CN330" s="48"/>
      <c r="CO330" s="78"/>
      <c r="CP330" s="48"/>
      <c r="CQ330" s="48"/>
      <c r="CR330" s="24" cm="1">
        <f t="array" ref="CR330">SUM(CL330:CQ330)</f>
        <v>0</v>
      </c>
      <c r="CS330" s="19"/>
      <c r="CT330" s="19"/>
    </row>
    <row r="331" ht="29.95" customHeight="1">
      <c r="CK331" t="s" s="11">
        <v>43</v>
      </c>
      <c r="CL331" s="55"/>
      <c r="CM331" s="48"/>
      <c r="CN331" s="48"/>
      <c r="CO331" s="78"/>
      <c r="CP331" s="48"/>
      <c r="CQ331" s="48"/>
      <c r="CR331" s="24" cm="1">
        <f t="array" ref="CR331">SUM(CL331:CQ331)</f>
        <v>0</v>
      </c>
      <c r="CS331" s="19"/>
      <c r="CT331" s="19"/>
    </row>
    <row r="332" ht="29.95" customHeight="1">
      <c r="CK332" t="s" s="11">
        <v>41</v>
      </c>
      <c r="CL332" s="55"/>
      <c r="CM332" s="48"/>
      <c r="CN332" s="48"/>
      <c r="CO332" s="78"/>
      <c r="CP332" s="48"/>
      <c r="CQ332" s="48"/>
      <c r="CR332" s="24" cm="1">
        <f t="array" ref="CR332">SUM(CL332:CQ332)</f>
        <v>0</v>
      </c>
      <c r="CS332" s="19"/>
      <c r="CT332" s="19"/>
    </row>
    <row r="333" ht="29.95" customHeight="1">
      <c r="CK333" t="s" s="11">
        <v>32</v>
      </c>
      <c r="CL333" s="53">
        <v>1</v>
      </c>
      <c r="CM333" s="82">
        <v>1</v>
      </c>
      <c r="CN333" s="82">
        <v>1</v>
      </c>
      <c r="CO333" s="78"/>
      <c r="CP333" s="82">
        <v>1</v>
      </c>
      <c r="CQ333" s="82">
        <v>1</v>
      </c>
      <c r="CR333" s="24" cm="1">
        <f t="array" ref="CR333">SUM(CL333:CQ333)</f>
        <v>5</v>
      </c>
      <c r="CS333" s="19"/>
      <c r="CT333" s="19"/>
    </row>
    <row r="334" ht="29.95" customHeight="1">
      <c r="CK334" t="s" s="32">
        <v>50</v>
      </c>
      <c r="CL334" s="55"/>
      <c r="CM334" s="48"/>
      <c r="CN334" s="48"/>
      <c r="CO334" s="78"/>
      <c r="CP334" s="82">
        <v>1</v>
      </c>
      <c r="CQ334" s="48"/>
      <c r="CR334" s="24" cm="1">
        <f t="array" ref="CR334">SUM(CL334:CQ334)</f>
        <v>1</v>
      </c>
      <c r="CS334" s="19"/>
      <c r="CT334" s="19"/>
    </row>
    <row r="335" ht="29.95" customHeight="1">
      <c r="CK335" t="s" s="32">
        <v>52</v>
      </c>
      <c r="CL335" s="55"/>
      <c r="CM335" s="48"/>
      <c r="CN335" s="48"/>
      <c r="CO335" s="78"/>
      <c r="CP335" s="82">
        <v>1</v>
      </c>
      <c r="CQ335" s="48"/>
      <c r="CR335" s="24" cm="1">
        <f t="array" ref="CR335">SUM(CL335:CQ335)</f>
        <v>1</v>
      </c>
      <c r="CS335" s="19"/>
      <c r="CT335" s="19"/>
    </row>
    <row r="336" ht="29.95" customHeight="1">
      <c r="CK336" t="s" s="32">
        <v>51</v>
      </c>
      <c r="CL336" s="55"/>
      <c r="CM336" s="48"/>
      <c r="CN336" s="48"/>
      <c r="CO336" s="78"/>
      <c r="CP336" s="48"/>
      <c r="CQ336" s="48"/>
      <c r="CR336" s="24" cm="1">
        <f t="array" ref="CR336">SUM(CL336:CQ336)</f>
        <v>0</v>
      </c>
      <c r="CS336" s="19"/>
      <c r="CT336" s="19"/>
    </row>
    <row r="337" ht="31.75" customHeight="1">
      <c r="CK337" t="s" s="95">
        <v>35</v>
      </c>
      <c r="CL337" s="55"/>
      <c r="CM337" s="48"/>
      <c r="CN337" s="48"/>
      <c r="CO337" s="78"/>
      <c r="CP337" s="48"/>
      <c r="CQ337" s="48"/>
      <c r="CR337" s="24" cm="1">
        <f t="array" ref="CR337">SUM(CL337:CQ337)</f>
        <v>0</v>
      </c>
      <c r="CS337" s="19"/>
      <c r="CT337" s="19"/>
    </row>
    <row r="338" ht="29.95" customHeight="1">
      <c r="CK338" t="s" s="95">
        <v>22</v>
      </c>
      <c r="CL338" s="134">
        <v>1</v>
      </c>
      <c r="CM338" s="48"/>
      <c r="CN338" s="48"/>
      <c r="CO338" s="133">
        <v>1</v>
      </c>
      <c r="CP338" s="48"/>
      <c r="CQ338" s="48"/>
      <c r="CR338" s="24" cm="1">
        <f t="array" ref="CR338">SUM(CL338:CQ338)</f>
        <v>2</v>
      </c>
      <c r="CS338" s="19"/>
      <c r="CT338" s="19"/>
    </row>
    <row r="339" ht="29.95" customHeight="1">
      <c r="CK339" t="s" s="95">
        <v>10</v>
      </c>
      <c r="CL339" s="134">
        <v>1</v>
      </c>
      <c r="CM339" s="48"/>
      <c r="CN339" s="48"/>
      <c r="CO339" s="78"/>
      <c r="CP339" s="48"/>
      <c r="CQ339" s="48"/>
      <c r="CR339" s="24" cm="1">
        <f t="array" ref="CR339">SUM(CL339:CQ339)</f>
        <v>1</v>
      </c>
      <c r="CS339" s="19"/>
      <c r="CT339" s="19"/>
    </row>
    <row r="340" ht="29.95" customHeight="1">
      <c r="CK340" t="s" s="95">
        <v>112</v>
      </c>
      <c r="CL340" s="55"/>
      <c r="CM340" s="48"/>
      <c r="CN340" s="48"/>
      <c r="CO340" s="78"/>
      <c r="CP340" s="48"/>
      <c r="CQ340" s="48"/>
      <c r="CR340" s="24" cm="1">
        <f t="array" ref="CR340">SUM(CL340:CQ340)</f>
        <v>0</v>
      </c>
      <c r="CS340" s="19"/>
      <c r="CT340" s="19"/>
    </row>
    <row r="341" ht="29.95" customHeight="1">
      <c r="CK341" t="s" s="95">
        <v>113</v>
      </c>
      <c r="CL341" s="55"/>
      <c r="CM341" s="48"/>
      <c r="CN341" s="48"/>
      <c r="CO341" s="78"/>
      <c r="CP341" s="48"/>
      <c r="CQ341" s="48"/>
      <c r="CR341" s="24" cm="1">
        <f t="array" ref="CR341">SUM(CL341:CQ341)</f>
        <v>0</v>
      </c>
      <c r="CS341" s="19"/>
      <c r="CT341" s="19"/>
    </row>
    <row r="342" ht="29.95" customHeight="1">
      <c r="CK342" t="s" s="44">
        <v>70</v>
      </c>
      <c r="CL342" s="55"/>
      <c r="CM342" s="48"/>
      <c r="CN342" s="48"/>
      <c r="CO342" s="78"/>
      <c r="CP342" s="48"/>
      <c r="CQ342" s="48"/>
      <c r="CR342" s="24" cm="1">
        <f t="array" ref="CR342">SUM(CL342:CQ342)</f>
        <v>0</v>
      </c>
      <c r="CS342" s="19"/>
      <c r="CT342" s="19"/>
    </row>
    <row r="343" ht="29.95" customHeight="1">
      <c r="CK343" t="s" s="44">
        <v>58</v>
      </c>
      <c r="CL343" s="55"/>
      <c r="CM343" s="48"/>
      <c r="CN343" s="48"/>
      <c r="CO343" s="78"/>
      <c r="CP343" s="48"/>
      <c r="CQ343" s="48"/>
      <c r="CR343" s="24" cm="1">
        <f t="array" ref="CR343">SUM(CL343:CQ343)</f>
        <v>0</v>
      </c>
      <c r="CS343" s="19"/>
      <c r="CT343" s="19"/>
    </row>
    <row r="344" ht="29.95" customHeight="1">
      <c r="CK344" t="s" s="44">
        <v>59</v>
      </c>
      <c r="CL344" s="55"/>
      <c r="CM344" s="48"/>
      <c r="CN344" s="48"/>
      <c r="CO344" s="78"/>
      <c r="CP344" s="48"/>
      <c r="CQ344" s="48"/>
      <c r="CR344" s="24" cm="1">
        <f t="array" ref="CR344">SUM(CL344:CQ344)</f>
        <v>0</v>
      </c>
      <c r="CS344" s="19"/>
      <c r="CT344" s="19"/>
    </row>
    <row r="345" ht="22.95" customHeight="1">
      <c r="CK345" t="s" s="44">
        <v>45</v>
      </c>
      <c r="CL345" s="55"/>
      <c r="CM345" s="82">
        <v>1</v>
      </c>
      <c r="CN345" s="82">
        <v>1</v>
      </c>
      <c r="CO345" s="78"/>
      <c r="CP345" s="48"/>
      <c r="CQ345" s="82">
        <v>1</v>
      </c>
      <c r="CR345" s="24" cm="1">
        <f t="array" ref="CR345">SUM(CL345:CQ345)</f>
        <v>3</v>
      </c>
      <c r="CS345" s="19"/>
      <c r="CT345" s="19"/>
    </row>
    <row r="346" ht="36.45" customHeight="1">
      <c r="CK346" t="s" s="44">
        <v>46</v>
      </c>
      <c r="CL346" s="55"/>
      <c r="CM346" s="48"/>
      <c r="CN346" s="82">
        <v>1</v>
      </c>
      <c r="CO346" s="78"/>
      <c r="CP346" s="48"/>
      <c r="CQ346" s="82">
        <v>1</v>
      </c>
      <c r="CR346" s="24" cm="1">
        <f t="array" ref="CR346">SUM(CL346:CQ346)</f>
        <v>2</v>
      </c>
      <c r="CS346" s="19"/>
      <c r="CT346" s="19"/>
    </row>
    <row r="347" ht="20.05" customHeight="1">
      <c r="CK347" t="s" s="44">
        <v>191</v>
      </c>
      <c r="CL347" s="55"/>
      <c r="CM347" s="82">
        <v>1</v>
      </c>
      <c r="CN347" s="82">
        <v>1</v>
      </c>
      <c r="CO347" s="78"/>
      <c r="CP347" s="48"/>
      <c r="CQ347" s="48"/>
      <c r="CR347" s="24" cm="1">
        <f t="array" ref="CR347">SUM(CL347:CQ347)</f>
        <v>2</v>
      </c>
      <c r="CS347" s="19"/>
      <c r="CT347" s="19"/>
    </row>
    <row r="348" ht="29.95" customHeight="1">
      <c r="CK348" t="s" s="44">
        <v>91</v>
      </c>
      <c r="CL348" s="55"/>
      <c r="CM348" s="48"/>
      <c r="CN348" s="48"/>
      <c r="CO348" s="78"/>
      <c r="CP348" s="48"/>
      <c r="CQ348" s="48"/>
      <c r="CR348" s="24" cm="1">
        <f t="array" ref="CR348">SUM(CL348:CQ348)</f>
        <v>0</v>
      </c>
      <c r="CS348" s="24">
        <v>1</v>
      </c>
      <c r="CT348" s="19"/>
    </row>
    <row r="349" ht="29.95" customHeight="1">
      <c r="CK349" t="s" s="44">
        <v>48</v>
      </c>
      <c r="CL349" s="57">
        <v>1</v>
      </c>
      <c r="CM349" s="48"/>
      <c r="CN349" s="48"/>
      <c r="CO349" s="78"/>
      <c r="CP349" s="82">
        <v>1</v>
      </c>
      <c r="CQ349" s="48"/>
      <c r="CR349" s="24" cm="1">
        <f t="array" ref="CR349">SUM(CL349:CQ349)</f>
        <v>2</v>
      </c>
      <c r="CS349" s="24">
        <v>1</v>
      </c>
      <c r="CT349" s="19"/>
    </row>
    <row r="350" ht="29.95" customHeight="1">
      <c r="CK350" t="s" s="44">
        <v>49</v>
      </c>
      <c r="CL350" s="57">
        <v>1</v>
      </c>
      <c r="CM350" s="48"/>
      <c r="CN350" s="48"/>
      <c r="CO350" s="78"/>
      <c r="CP350" s="48"/>
      <c r="CQ350" s="48"/>
      <c r="CR350" s="24" cm="1">
        <f t="array" ref="CR350">SUM(CL350:CQ350)</f>
        <v>1</v>
      </c>
      <c r="CS350" s="19"/>
      <c r="CT350" s="19"/>
    </row>
    <row r="351" ht="29.95" customHeight="1">
      <c r="CK351" t="s" s="44">
        <v>101</v>
      </c>
      <c r="CL351" s="55"/>
      <c r="CM351" s="48"/>
      <c r="CN351" s="48"/>
      <c r="CO351" s="78"/>
      <c r="CP351" s="48"/>
      <c r="CQ351" s="48"/>
      <c r="CR351" s="24" cm="1">
        <f t="array" ref="CR351">SUM(CL351:CQ351)</f>
        <v>0</v>
      </c>
      <c r="CS351" s="19"/>
      <c r="CT351" s="19"/>
    </row>
    <row r="352" ht="29.95" customHeight="1">
      <c r="CK352" t="s" s="32">
        <v>115</v>
      </c>
      <c r="CL352" s="57">
        <v>1</v>
      </c>
      <c r="CM352" s="48"/>
      <c r="CN352" s="48"/>
      <c r="CO352" s="78"/>
      <c r="CP352" s="48"/>
      <c r="CQ352" s="48"/>
      <c r="CR352" s="24" cm="1">
        <f t="array" ref="CR352">SUM(CL352:CQ352)</f>
        <v>1</v>
      </c>
      <c r="CS352" s="19"/>
      <c r="CT352" s="19"/>
    </row>
    <row r="353" ht="29.95" customHeight="1">
      <c r="CK353" t="s" s="32">
        <v>109</v>
      </c>
      <c r="CL353" s="55"/>
      <c r="CM353" s="48"/>
      <c r="CN353" s="48"/>
      <c r="CO353" s="78"/>
      <c r="CP353" s="48"/>
      <c r="CQ353" s="48"/>
      <c r="CR353" s="24" cm="1">
        <f t="array" ref="CR353">SUM(CL353:CQ353)</f>
        <v>0</v>
      </c>
      <c r="CS353" s="19"/>
      <c r="CT353" s="19"/>
    </row>
    <row r="354" ht="29.95" customHeight="1">
      <c r="CK354" t="s" s="32">
        <v>154</v>
      </c>
      <c r="CL354" s="18"/>
      <c r="CM354" s="19"/>
      <c r="CN354" s="19"/>
      <c r="CO354" s="19"/>
      <c r="CP354" s="82">
        <v>1</v>
      </c>
      <c r="CQ354" s="19"/>
      <c r="CR354" s="24" cm="1">
        <f t="array" ref="CR354">SUM(CL354:CQ354)</f>
        <v>1</v>
      </c>
      <c r="CS354" s="19"/>
      <c r="CT354" s="19"/>
    </row>
    <row r="355" ht="29.95" customHeight="1">
      <c r="CK355" t="s" s="32">
        <v>155</v>
      </c>
      <c r="CL355" s="18"/>
      <c r="CM355" s="19"/>
      <c r="CN355" s="19"/>
      <c r="CO355" s="19"/>
      <c r="CP355" s="82">
        <v>1</v>
      </c>
      <c r="CQ355" s="82">
        <v>1</v>
      </c>
      <c r="CR355" s="24" cm="1">
        <f t="array" ref="CR355">SUM(CL355:CQ355)</f>
        <v>2</v>
      </c>
      <c r="CS355" s="19"/>
      <c r="CT355" s="24">
        <v>2</v>
      </c>
    </row>
    <row r="356" ht="29.95" customHeight="1">
      <c r="CK356" t="s" s="32">
        <v>156</v>
      </c>
      <c r="CL356" s="18"/>
      <c r="CM356" s="19"/>
      <c r="CN356" s="19"/>
      <c r="CO356" s="19"/>
      <c r="CP356" s="48"/>
      <c r="CQ356" s="48"/>
      <c r="CR356" s="24" cm="1">
        <f t="array" ref="CR356">SUM(CL356:CQ356)</f>
        <v>0</v>
      </c>
      <c r="CS356" s="19"/>
      <c r="CT356" s="19"/>
    </row>
    <row r="357" ht="29.95" customHeight="1">
      <c r="CK357" t="s" s="32">
        <v>209</v>
      </c>
      <c r="CL357" s="18"/>
      <c r="CM357" s="19"/>
      <c r="CN357" s="19"/>
      <c r="CO357" s="19"/>
      <c r="CP357" s="48"/>
      <c r="CQ357" s="48"/>
      <c r="CR357" s="24" cm="1">
        <f t="array" ref="CR357">SUM(CL357:CQ357)</f>
        <v>0</v>
      </c>
      <c r="CS357" s="19"/>
      <c r="CT357" s="19"/>
    </row>
    <row r="358" ht="29.95" customHeight="1">
      <c r="CK358" t="s" s="32">
        <v>102</v>
      </c>
      <c r="CL358" s="183">
        <v>2</v>
      </c>
      <c r="CM358" s="184">
        <v>1</v>
      </c>
      <c r="CN358" s="184">
        <v>2</v>
      </c>
      <c r="CO358" s="184">
        <v>1</v>
      </c>
      <c r="CP358" s="184">
        <v>1</v>
      </c>
      <c r="CQ358" s="184">
        <v>1</v>
      </c>
      <c r="CR358" s="24" cm="1">
        <f t="array" ref="CR358">SUM(CL358:CQ358)</f>
        <v>8</v>
      </c>
      <c r="CS358" s="19"/>
      <c r="CT358" s="19"/>
    </row>
    <row r="359" ht="29.95" customHeight="1">
      <c r="CK359" t="s" s="49">
        <v>30</v>
      </c>
      <c r="CL359" s="12" cm="1">
        <f t="array" ref="CL359">SUM(CL321:CL358)</f>
        <v>10</v>
      </c>
      <c r="CM359" s="24" cm="1">
        <f t="array" ref="CM359">SUM(CM321:CM358)</f>
        <v>7</v>
      </c>
      <c r="CN359" s="24" cm="1">
        <f t="array" ref="CN359">SUM(CN321:CN358)</f>
        <v>9</v>
      </c>
      <c r="CO359" s="24" cm="1">
        <f t="array" ref="CO359">SUM(CO321:CO358)</f>
        <v>6</v>
      </c>
      <c r="CP359" s="24" cm="1">
        <f t="array" ref="CP359">SUM(CP321:CP358)</f>
        <v>10</v>
      </c>
      <c r="CQ359" s="24" cm="1">
        <f t="array" ref="CQ359">SUM(CQ321:CQ358)</f>
        <v>6</v>
      </c>
      <c r="CR359" s="24" cm="1">
        <f t="array" ref="CR359">SUM(CR321:CR358)</f>
        <v>48</v>
      </c>
      <c r="CS359" s="19"/>
      <c r="CT359" s="19"/>
    </row>
    <row r="361" ht="27.65" customHeight="1">
      <c r="CU361" t="s" s="2">
        <v>103</v>
      </c>
      <c r="CV361" s="2"/>
      <c r="CW361" s="2"/>
      <c r="CX361" s="2"/>
      <c r="CY361" s="2"/>
      <c r="CZ361" s="2"/>
      <c r="DA361" s="2"/>
      <c r="DB361" s="2"/>
      <c r="DC361" s="2"/>
      <c r="DD361" s="2"/>
    </row>
    <row r="362" ht="43.25" customHeight="1">
      <c r="CU362" s="35"/>
      <c r="CV362" t="s" s="3">
        <v>217</v>
      </c>
      <c r="CW362" t="s" s="3">
        <v>218</v>
      </c>
      <c r="CX362" t="s" s="3">
        <v>219</v>
      </c>
      <c r="CY362" t="s" s="3">
        <v>220</v>
      </c>
      <c r="CZ362" t="s" s="3">
        <v>221</v>
      </c>
      <c r="DA362" t="s" s="3">
        <v>222</v>
      </c>
      <c r="DB362" t="s" s="3">
        <v>216</v>
      </c>
      <c r="DC362" t="s" s="3">
        <v>68</v>
      </c>
      <c r="DD362" t="s" s="3">
        <v>69</v>
      </c>
    </row>
    <row r="363" ht="27.2" customHeight="1">
      <c r="CU363" t="s" s="6">
        <v>55</v>
      </c>
      <c r="CV363" s="136"/>
      <c r="CW363" s="123"/>
      <c r="CX363" s="123"/>
      <c r="CY363" s="123"/>
      <c r="CZ363" s="123"/>
      <c r="DA363" s="123"/>
      <c r="DB363" s="123"/>
      <c r="DC363" s="123"/>
      <c r="DD363" s="123"/>
    </row>
    <row r="364" ht="26.9" customHeight="1">
      <c r="CU364" t="s" s="11">
        <v>56</v>
      </c>
      <c r="CV364" s="55"/>
      <c r="CW364" s="48"/>
      <c r="CX364" s="48"/>
      <c r="CY364" s="27"/>
      <c r="CZ364" s="48"/>
      <c r="DA364" s="48"/>
      <c r="DB364" s="48"/>
      <c r="DC364" s="48"/>
      <c r="DD364" s="48"/>
    </row>
    <row r="365" ht="26.9" customHeight="1">
      <c r="CU365" t="s" s="11">
        <v>16</v>
      </c>
      <c r="CV365" s="55"/>
      <c r="CW365" s="48"/>
      <c r="CX365" s="48"/>
      <c r="CY365" s="27"/>
      <c r="CZ365" s="48"/>
      <c r="DA365" s="48"/>
      <c r="DB365" s="48"/>
      <c r="DC365" s="48"/>
      <c r="DD365" s="48"/>
    </row>
    <row r="366" ht="43" customHeight="1">
      <c r="CU366" t="s" s="11">
        <v>17</v>
      </c>
      <c r="CV366" s="55"/>
      <c r="CW366" s="48"/>
      <c r="CX366" s="48"/>
      <c r="CY366" s="27"/>
      <c r="CZ366" s="48"/>
      <c r="DA366" s="48"/>
      <c r="DB366" s="48"/>
      <c r="DC366" s="48"/>
      <c r="DD366" s="48"/>
    </row>
    <row r="367" ht="26.9" customHeight="1">
      <c r="CU367" t="s" s="11">
        <v>18</v>
      </c>
      <c r="CV367" s="55"/>
      <c r="CW367" s="48"/>
      <c r="CX367" s="48"/>
      <c r="CY367" s="27"/>
      <c r="CZ367" s="48"/>
      <c r="DA367" s="48"/>
      <c r="DB367" s="48"/>
      <c r="DC367" s="48"/>
      <c r="DD367" s="48"/>
    </row>
    <row r="368" ht="26.9" customHeight="1">
      <c r="CU368" t="s" s="11">
        <v>19</v>
      </c>
      <c r="CV368" s="55"/>
      <c r="CW368" s="48"/>
      <c r="CX368" s="48"/>
      <c r="CY368" s="27"/>
      <c r="CZ368" s="48"/>
      <c r="DA368" s="48"/>
      <c r="DB368" s="48"/>
      <c r="DC368" s="48"/>
      <c r="DD368" s="48"/>
    </row>
    <row r="369" ht="26.9" customHeight="1">
      <c r="CU369" t="s" s="11">
        <v>20</v>
      </c>
      <c r="CV369" s="55"/>
      <c r="CW369" s="48"/>
      <c r="CX369" s="48"/>
      <c r="CY369" s="27"/>
      <c r="CZ369" s="48"/>
      <c r="DA369" s="48"/>
      <c r="DB369" s="48"/>
      <c r="DC369" s="48"/>
      <c r="DD369" s="48"/>
    </row>
    <row r="370" ht="26.9" customHeight="1">
      <c r="CU370" t="s" s="11">
        <v>21</v>
      </c>
      <c r="CV370" s="55"/>
      <c r="CW370" s="48"/>
      <c r="CX370" s="48"/>
      <c r="CY370" s="27"/>
      <c r="CZ370" s="48"/>
      <c r="DA370" s="48"/>
      <c r="DB370" s="48"/>
      <c r="DC370" s="48"/>
      <c r="DD370" s="48"/>
    </row>
    <row r="371" ht="26.9" customHeight="1">
      <c r="CU371" t="s" s="11">
        <v>27</v>
      </c>
      <c r="CV371" s="55"/>
      <c r="CW371" s="48"/>
      <c r="CX371" s="48"/>
      <c r="CY371" s="27"/>
      <c r="CZ371" s="48"/>
      <c r="DA371" s="48"/>
      <c r="DB371" s="48"/>
      <c r="DC371" s="48"/>
      <c r="DD371" s="48"/>
    </row>
    <row r="372" ht="26.9" customHeight="1">
      <c r="CU372" t="s" s="11">
        <v>42</v>
      </c>
      <c r="CV372" s="55"/>
      <c r="CW372" s="48"/>
      <c r="CX372" s="48"/>
      <c r="CY372" s="27"/>
      <c r="CZ372" s="48"/>
      <c r="DA372" s="48"/>
      <c r="DB372" s="48"/>
      <c r="DC372" s="48"/>
      <c r="DD372" s="48"/>
    </row>
    <row r="373" ht="26.9" customHeight="1">
      <c r="CU373" t="s" s="11">
        <v>43</v>
      </c>
      <c r="CV373" s="55"/>
      <c r="CW373" s="48"/>
      <c r="CX373" s="48"/>
      <c r="CY373" s="27"/>
      <c r="CZ373" s="48"/>
      <c r="DA373" s="48"/>
      <c r="DB373" s="48"/>
      <c r="DC373" s="48"/>
      <c r="DD373" s="48"/>
    </row>
    <row r="374" ht="26.9" customHeight="1">
      <c r="CU374" t="s" s="11">
        <v>41</v>
      </c>
      <c r="CV374" s="55"/>
      <c r="CW374" s="48"/>
      <c r="CX374" s="48"/>
      <c r="CY374" s="27"/>
      <c r="CZ374" s="48"/>
      <c r="DA374" s="48"/>
      <c r="DB374" s="48"/>
      <c r="DC374" s="48"/>
      <c r="DD374" s="48"/>
    </row>
    <row r="375" ht="26.9" customHeight="1">
      <c r="CU375" t="s" s="11">
        <v>32</v>
      </c>
      <c r="CV375" s="55"/>
      <c r="CW375" s="48"/>
      <c r="CX375" s="48"/>
      <c r="CY375" s="27"/>
      <c r="CZ375" s="48"/>
      <c r="DA375" s="48"/>
      <c r="DB375" s="48"/>
      <c r="DC375" s="48"/>
      <c r="DD375" s="48"/>
    </row>
    <row r="376" ht="26.9" customHeight="1">
      <c r="CU376" t="s" s="64">
        <v>50</v>
      </c>
      <c r="CV376" s="55"/>
      <c r="CW376" s="48"/>
      <c r="CX376" s="48"/>
      <c r="CY376" s="27"/>
      <c r="CZ376" s="48"/>
      <c r="DA376" s="48"/>
      <c r="DB376" s="48"/>
      <c r="DC376" s="48"/>
      <c r="DD376" s="48"/>
    </row>
    <row r="377" ht="26.9" customHeight="1">
      <c r="CU377" t="s" s="64">
        <v>52</v>
      </c>
      <c r="CV377" s="55"/>
      <c r="CW377" s="48"/>
      <c r="CX377" s="48"/>
      <c r="CY377" s="27"/>
      <c r="CZ377" s="48"/>
      <c r="DA377" s="48"/>
      <c r="DB377" s="48"/>
      <c r="DC377" s="48"/>
      <c r="DD377" s="48"/>
    </row>
    <row r="378" ht="44.45" customHeight="1">
      <c r="CU378" t="s" s="64">
        <v>51</v>
      </c>
      <c r="CV378" s="55"/>
      <c r="CW378" s="48"/>
      <c r="CX378" s="48"/>
      <c r="CY378" s="27"/>
      <c r="CZ378" s="48"/>
      <c r="DA378" s="48"/>
      <c r="DB378" s="48"/>
      <c r="DC378" s="48"/>
      <c r="DD378" s="48"/>
    </row>
    <row r="379" ht="26.9" customHeight="1">
      <c r="CU379" t="s" s="95">
        <v>35</v>
      </c>
      <c r="CV379" s="55"/>
      <c r="CW379" s="48"/>
      <c r="CX379" s="48"/>
      <c r="CY379" s="27"/>
      <c r="CZ379" s="48"/>
      <c r="DA379" s="48"/>
      <c r="DB379" s="48"/>
      <c r="DC379" s="48"/>
      <c r="DD379" s="48"/>
    </row>
    <row r="380" ht="26.9" customHeight="1">
      <c r="CU380" t="s" s="95">
        <v>22</v>
      </c>
      <c r="CV380" s="55"/>
      <c r="CW380" s="48"/>
      <c r="CX380" s="48"/>
      <c r="CY380" s="27"/>
      <c r="CZ380" s="48"/>
      <c r="DA380" s="48"/>
      <c r="DB380" s="48"/>
      <c r="DC380" s="48"/>
      <c r="DD380" s="48"/>
    </row>
    <row r="381" ht="26.9" customHeight="1">
      <c r="CU381" t="s" s="95">
        <v>10</v>
      </c>
      <c r="CV381" s="55"/>
      <c r="CW381" s="48"/>
      <c r="CX381" s="48"/>
      <c r="CY381" s="27"/>
      <c r="CZ381" s="48"/>
      <c r="DA381" s="48"/>
      <c r="DB381" s="48"/>
      <c r="DC381" s="48"/>
      <c r="DD381" s="48"/>
    </row>
    <row r="382" ht="26.9" customHeight="1">
      <c r="CU382" t="s" s="95">
        <v>112</v>
      </c>
      <c r="CV382" s="55"/>
      <c r="CW382" s="48"/>
      <c r="CX382" s="48"/>
      <c r="CY382" s="27"/>
      <c r="CZ382" s="48"/>
      <c r="DA382" s="48"/>
      <c r="DB382" s="48"/>
      <c r="DC382" s="48"/>
      <c r="DD382" s="48"/>
    </row>
    <row r="383" ht="26.9" customHeight="1">
      <c r="CU383" t="s" s="95">
        <v>113</v>
      </c>
      <c r="CV383" s="55"/>
      <c r="CW383" s="48"/>
      <c r="CX383" s="48"/>
      <c r="CY383" s="27"/>
      <c r="CZ383" s="48"/>
      <c r="DA383" s="48"/>
      <c r="DB383" s="48"/>
      <c r="DC383" s="48"/>
      <c r="DD383" s="48"/>
    </row>
    <row r="384" ht="26.9" customHeight="1">
      <c r="CU384" t="s" s="44">
        <v>70</v>
      </c>
      <c r="CV384" s="55"/>
      <c r="CW384" s="48"/>
      <c r="CX384" s="48"/>
      <c r="CY384" s="27"/>
      <c r="CZ384" s="48"/>
      <c r="DA384" s="48"/>
      <c r="DB384" s="48"/>
      <c r="DC384" s="48"/>
      <c r="DD384" s="48"/>
    </row>
    <row r="385" ht="39.6" customHeight="1">
      <c r="CU385" t="s" s="44">
        <v>58</v>
      </c>
      <c r="CV385" s="55"/>
      <c r="CW385" s="48"/>
      <c r="CX385" s="48"/>
      <c r="CY385" s="27"/>
      <c r="CZ385" s="48"/>
      <c r="DA385" s="48"/>
      <c r="DB385" s="48"/>
      <c r="DC385" s="48"/>
      <c r="DD385" s="48"/>
    </row>
    <row r="386" ht="43" customHeight="1">
      <c r="CU386" t="s" s="44">
        <v>59</v>
      </c>
      <c r="CV386" s="55"/>
      <c r="CW386" s="48"/>
      <c r="CX386" s="48"/>
      <c r="CY386" s="27"/>
      <c r="CZ386" s="48"/>
      <c r="DA386" s="48"/>
      <c r="DB386" s="48"/>
      <c r="DC386" s="48"/>
      <c r="DD386" s="48"/>
    </row>
    <row r="387" ht="26.9" customHeight="1">
      <c r="CU387" t="s" s="44">
        <v>45</v>
      </c>
      <c r="CV387" s="55"/>
      <c r="CW387" s="48"/>
      <c r="CX387" s="48"/>
      <c r="CY387" s="27"/>
      <c r="CZ387" s="48"/>
      <c r="DA387" s="48"/>
      <c r="DB387" s="48"/>
      <c r="DC387" s="48"/>
      <c r="DD387" s="48"/>
    </row>
    <row r="388" ht="41.4" customHeight="1">
      <c r="CU388" t="s" s="44">
        <v>46</v>
      </c>
      <c r="CV388" s="55"/>
      <c r="CW388" s="48"/>
      <c r="CX388" s="48"/>
      <c r="CY388" s="27"/>
      <c r="CZ388" s="48"/>
      <c r="DA388" s="48"/>
      <c r="DB388" s="48"/>
      <c r="DC388" s="48"/>
      <c r="DD388" s="48"/>
    </row>
    <row r="389" ht="41.4" customHeight="1">
      <c r="CU389" t="s" s="44">
        <v>191</v>
      </c>
      <c r="CV389" s="55"/>
      <c r="CW389" s="48"/>
      <c r="CX389" s="48"/>
      <c r="CY389" s="27"/>
      <c r="CZ389" s="48"/>
      <c r="DA389" s="48"/>
      <c r="DB389" s="48"/>
      <c r="DC389" s="48"/>
      <c r="DD389" s="48"/>
    </row>
    <row r="390" ht="26.9" customHeight="1">
      <c r="CU390" t="s" s="64">
        <v>91</v>
      </c>
      <c r="CV390" s="55"/>
      <c r="CW390" s="48"/>
      <c r="CX390" s="48"/>
      <c r="CY390" s="27"/>
      <c r="CZ390" s="48"/>
      <c r="DA390" s="48"/>
      <c r="DB390" s="48"/>
      <c r="DC390" s="48"/>
      <c r="DD390" s="48"/>
    </row>
    <row r="391" ht="26.9" customHeight="1">
      <c r="CU391" t="s" s="21">
        <v>48</v>
      </c>
      <c r="CV391" s="193">
        <v>1</v>
      </c>
      <c r="CW391" s="48"/>
      <c r="CX391" s="48"/>
      <c r="CY391" s="78"/>
      <c r="CZ391" s="48"/>
      <c r="DA391" s="48"/>
      <c r="DB391" s="48"/>
      <c r="DC391" s="48"/>
      <c r="DD391" s="48"/>
    </row>
    <row r="392" ht="26.9" customHeight="1">
      <c r="CU392" t="s" s="21">
        <v>49</v>
      </c>
      <c r="CV392" s="193">
        <v>1</v>
      </c>
      <c r="CW392" s="48"/>
      <c r="CX392" s="48"/>
      <c r="CY392" s="78"/>
      <c r="CZ392" s="48"/>
      <c r="DA392" s="48"/>
      <c r="DB392" s="48"/>
      <c r="DC392" s="48"/>
      <c r="DD392" s="48"/>
    </row>
    <row r="393" ht="51.65" customHeight="1">
      <c r="CU393" t="s" s="44">
        <v>101</v>
      </c>
      <c r="CV393" s="55"/>
      <c r="CW393" s="48"/>
      <c r="CX393" s="48"/>
      <c r="CY393" s="78"/>
      <c r="CZ393" s="48"/>
      <c r="DA393" s="48"/>
      <c r="DB393" s="48"/>
      <c r="DC393" s="48"/>
      <c r="DD393" s="48"/>
    </row>
    <row r="394" ht="33.8" customHeight="1">
      <c r="CU394" t="s" s="32">
        <v>115</v>
      </c>
      <c r="CV394" s="193">
        <v>1</v>
      </c>
      <c r="CW394" s="48"/>
      <c r="CX394" s="48"/>
      <c r="CY394" s="78"/>
      <c r="CZ394" s="48"/>
      <c r="DA394" s="48"/>
      <c r="DB394" s="48"/>
      <c r="DC394" s="48"/>
      <c r="DD394" s="48"/>
    </row>
    <row r="395" ht="20.05" customHeight="1">
      <c r="CU395" t="s" s="32">
        <v>109</v>
      </c>
      <c r="CV395" s="55"/>
      <c r="CW395" s="48"/>
      <c r="CX395" s="48"/>
      <c r="CY395" s="27"/>
      <c r="CZ395" s="48"/>
      <c r="DA395" s="48"/>
      <c r="DB395" s="48"/>
      <c r="DC395" s="48"/>
      <c r="DD395" s="48"/>
    </row>
    <row r="396" ht="20.05" customHeight="1">
      <c r="CU396" t="s" s="32">
        <v>154</v>
      </c>
      <c r="CV396" s="55"/>
      <c r="CW396" s="48"/>
      <c r="CX396" s="48"/>
      <c r="CY396" s="27"/>
      <c r="CZ396" s="48"/>
      <c r="DA396" s="48"/>
      <c r="DB396" s="48"/>
      <c r="DC396" s="48"/>
      <c r="DD396" s="48"/>
    </row>
    <row r="397" ht="20.05" customHeight="1">
      <c r="CU397" t="s" s="32">
        <v>155</v>
      </c>
      <c r="CV397" s="55"/>
      <c r="CW397" s="48"/>
      <c r="CX397" s="48"/>
      <c r="CY397" s="27"/>
      <c r="CZ397" s="48"/>
      <c r="DA397" s="48"/>
      <c r="DB397" s="48"/>
      <c r="DC397" s="48"/>
      <c r="DD397" s="48"/>
    </row>
    <row r="398" ht="20.05" customHeight="1">
      <c r="CU398" t="s" s="32">
        <v>156</v>
      </c>
      <c r="CV398" s="55"/>
      <c r="CW398" s="48"/>
      <c r="CX398" s="48"/>
      <c r="CY398" s="27"/>
      <c r="CZ398" s="48"/>
      <c r="DA398" s="48"/>
      <c r="DB398" s="48"/>
      <c r="DC398" s="48"/>
      <c r="DD398" s="48"/>
    </row>
    <row r="399" ht="20.05" customHeight="1">
      <c r="CU399" t="s" s="32">
        <v>209</v>
      </c>
      <c r="CV399" s="55"/>
      <c r="CW399" s="48"/>
      <c r="CX399" s="48"/>
      <c r="CY399" s="27"/>
      <c r="CZ399" s="48"/>
      <c r="DA399" s="48"/>
      <c r="DB399" s="48"/>
      <c r="DC399" s="48"/>
      <c r="DD399" s="48"/>
    </row>
    <row r="400" ht="26.75" customHeight="1">
      <c r="CU400" t="s" s="32">
        <v>102</v>
      </c>
      <c r="CV400" s="55"/>
      <c r="CW400" s="48"/>
      <c r="CX400" s="48"/>
      <c r="CY400" s="27"/>
      <c r="CZ400" s="48"/>
      <c r="DA400" s="48"/>
      <c r="DB400" s="48"/>
      <c r="DC400" s="48"/>
      <c r="DD400" s="48"/>
    </row>
    <row r="401" ht="20.5" customHeight="1">
      <c r="CU401" t="s" s="49">
        <v>30</v>
      </c>
      <c r="CV401" s="12" cm="1">
        <f t="array" ref="CV401">SUM(CV363:CV400)</f>
        <v>3</v>
      </c>
      <c r="CW401" s="24" cm="1">
        <f t="array" ref="CW401">SUM(CW363:CW400)</f>
        <v>0</v>
      </c>
      <c r="CX401" s="24" cm="1">
        <f t="array" ref="CX401">SUM(CX363:CX400)</f>
        <v>0</v>
      </c>
      <c r="CY401" s="24" cm="1">
        <f t="array" ref="CY401">SUM(CY363)</f>
        <v>0</v>
      </c>
      <c r="CZ401" s="24" cm="1">
        <f t="array" ref="CZ401">SUM(CZ363:CZ400)</f>
        <v>0</v>
      </c>
      <c r="DA401" s="24" cm="1">
        <f t="array" ref="DA401">SUM(DA363:DA400)</f>
        <v>0</v>
      </c>
      <c r="DB401" s="24" cm="1">
        <f t="array" ref="DB401">SUM(CV401:DA401)</f>
        <v>3</v>
      </c>
      <c r="DC401" s="24" cm="1">
        <f t="array" ref="DC401">SUM(DC363:DC400)</f>
        <v>0</v>
      </c>
      <c r="DD401" s="24" cm="1">
        <f t="array" ref="DD401">SUM(DD363:DD400)</f>
        <v>0</v>
      </c>
    </row>
    <row r="403" ht="48.15" customHeight="1">
      <c r="DE403" s="35"/>
      <c r="DF403" t="s" s="3">
        <v>223</v>
      </c>
      <c r="DG403" t="s" s="3">
        <v>224</v>
      </c>
      <c r="DH403" t="s" s="3">
        <v>225</v>
      </c>
      <c r="DI403" t="s" s="3">
        <v>226</v>
      </c>
      <c r="DJ403" t="s" s="3">
        <v>227</v>
      </c>
      <c r="DK403" t="s" s="3">
        <v>228</v>
      </c>
      <c r="DL403" t="s" s="3">
        <v>53</v>
      </c>
      <c r="DM403" t="s" s="3">
        <v>67</v>
      </c>
      <c r="DN403" t="s" s="3">
        <v>160</v>
      </c>
    </row>
    <row r="404" ht="30.25" customHeight="1">
      <c r="DE404" t="s" s="6">
        <v>55</v>
      </c>
      <c r="DF404" s="136"/>
      <c r="DG404" s="123"/>
      <c r="DH404" s="123"/>
      <c r="DI404" s="123"/>
      <c r="DJ404" s="123"/>
      <c r="DK404" s="123"/>
      <c r="DL404" s="47" cm="1">
        <f t="array" ref="DL404">SUM(DF404:DK404)</f>
        <v>0</v>
      </c>
      <c r="DM404" s="37"/>
      <c r="DN404" s="37"/>
    </row>
    <row r="405" ht="29.95" customHeight="1">
      <c r="DE405" t="s" s="11">
        <v>56</v>
      </c>
      <c r="DF405" s="55"/>
      <c r="DG405" s="48"/>
      <c r="DH405" s="48"/>
      <c r="DI405" s="48"/>
      <c r="DJ405" s="48"/>
      <c r="DK405" s="48"/>
      <c r="DL405" s="24" cm="1">
        <f t="array" ref="DL405">SUM(DF405:DK405)</f>
        <v>0</v>
      </c>
      <c r="DM405" s="19"/>
      <c r="DN405" s="19"/>
    </row>
    <row r="406" ht="29.95" customHeight="1">
      <c r="DE406" t="s" s="11">
        <v>16</v>
      </c>
      <c r="DF406" s="53">
        <v>1</v>
      </c>
      <c r="DG406" s="82">
        <v>1</v>
      </c>
      <c r="DH406" s="82">
        <v>1</v>
      </c>
      <c r="DI406" s="82">
        <v>1</v>
      </c>
      <c r="DJ406" s="82">
        <v>1</v>
      </c>
      <c r="DK406" s="48"/>
      <c r="DL406" s="24" cm="1">
        <f t="array" ref="DL406">SUM(DF406:DK406)</f>
        <v>5</v>
      </c>
      <c r="DM406" s="19"/>
      <c r="DN406" s="19"/>
    </row>
    <row r="407" ht="47.85" customHeight="1">
      <c r="DE407" t="s" s="11">
        <v>17</v>
      </c>
      <c r="DF407" s="55"/>
      <c r="DG407" s="48"/>
      <c r="DH407" s="48"/>
      <c r="DI407" s="48"/>
      <c r="DJ407" s="48"/>
      <c r="DK407" s="48"/>
      <c r="DL407" s="24" cm="1">
        <f t="array" ref="DL407">SUM(DF407:DK407)</f>
        <v>0</v>
      </c>
      <c r="DM407" s="19"/>
      <c r="DN407" s="19"/>
    </row>
    <row r="408" ht="29.95" customHeight="1">
      <c r="DE408" t="s" s="11">
        <v>18</v>
      </c>
      <c r="DF408" s="53">
        <v>1</v>
      </c>
      <c r="DG408" s="48"/>
      <c r="DH408" s="82">
        <v>1</v>
      </c>
      <c r="DI408" s="48"/>
      <c r="DJ408" s="48"/>
      <c r="DK408" s="48"/>
      <c r="DL408" s="24" cm="1">
        <f t="array" ref="DL408">SUM(DF408:DK408)</f>
        <v>2</v>
      </c>
      <c r="DM408" s="19"/>
      <c r="DN408" s="19"/>
    </row>
    <row r="409" ht="29.95" customHeight="1">
      <c r="DE409" t="s" s="11">
        <v>19</v>
      </c>
      <c r="DF409" s="55"/>
      <c r="DG409" s="48"/>
      <c r="DH409" s="48"/>
      <c r="DI409" s="48"/>
      <c r="DJ409" s="48"/>
      <c r="DK409" s="48"/>
      <c r="DL409" s="24" cm="1">
        <f t="array" ref="DL409">SUM(DF409:DK409)</f>
        <v>0</v>
      </c>
      <c r="DM409" s="19"/>
      <c r="DN409" s="19"/>
    </row>
    <row r="410" ht="29.95" customHeight="1">
      <c r="DE410" t="s" s="11">
        <v>20</v>
      </c>
      <c r="DF410" s="55"/>
      <c r="DG410" s="48"/>
      <c r="DH410" s="48"/>
      <c r="DI410" s="48"/>
      <c r="DJ410" s="48"/>
      <c r="DK410" s="48"/>
      <c r="DL410" s="24" cm="1">
        <f t="array" ref="DL410">SUM(DF410:DK410)</f>
        <v>0</v>
      </c>
      <c r="DM410" s="19"/>
      <c r="DN410" s="19"/>
    </row>
    <row r="411" ht="29.95" customHeight="1">
      <c r="DE411" t="s" s="11">
        <v>21</v>
      </c>
      <c r="DF411" s="55"/>
      <c r="DG411" s="48"/>
      <c r="DH411" s="48"/>
      <c r="DI411" s="48"/>
      <c r="DJ411" s="48"/>
      <c r="DK411" s="48"/>
      <c r="DL411" s="24" cm="1">
        <f t="array" ref="DL411">SUM(DF411:DK411)</f>
        <v>0</v>
      </c>
      <c r="DM411" s="19"/>
      <c r="DN411" s="19"/>
    </row>
    <row r="412" ht="29.95" customHeight="1">
      <c r="DE412" t="s" s="11">
        <v>27</v>
      </c>
      <c r="DF412" s="55"/>
      <c r="DG412" s="48"/>
      <c r="DH412" s="48"/>
      <c r="DI412" s="48"/>
      <c r="DJ412" s="48"/>
      <c r="DK412" s="48"/>
      <c r="DL412" s="24" cm="1">
        <f t="array" ref="DL412">SUM(DF412:DK412)</f>
        <v>0</v>
      </c>
      <c r="DM412" s="19"/>
      <c r="DN412" s="19"/>
    </row>
    <row r="413" ht="29.95" customHeight="1">
      <c r="DE413" t="s" s="11">
        <v>42</v>
      </c>
      <c r="DF413" s="55"/>
      <c r="DG413" s="48"/>
      <c r="DH413" s="48"/>
      <c r="DI413" s="48"/>
      <c r="DJ413" s="48"/>
      <c r="DK413" s="48"/>
      <c r="DL413" s="24" cm="1">
        <f t="array" ref="DL413">SUM(DF413:DK413)</f>
        <v>0</v>
      </c>
      <c r="DM413" s="19"/>
      <c r="DN413" s="19"/>
    </row>
    <row r="414" ht="29.95" customHeight="1">
      <c r="DE414" t="s" s="11">
        <v>43</v>
      </c>
      <c r="DF414" s="55"/>
      <c r="DG414" s="48"/>
      <c r="DH414" s="48"/>
      <c r="DI414" s="48"/>
      <c r="DJ414" s="48"/>
      <c r="DK414" s="48"/>
      <c r="DL414" s="24" cm="1">
        <f t="array" ref="DL414">SUM(DF414:DK414)</f>
        <v>0</v>
      </c>
      <c r="DM414" s="19"/>
      <c r="DN414" s="19"/>
    </row>
    <row r="415" ht="29.95" customHeight="1">
      <c r="DE415" t="s" s="11">
        <v>41</v>
      </c>
      <c r="DF415" s="55"/>
      <c r="DG415" s="48"/>
      <c r="DH415" s="48"/>
      <c r="DI415" s="48"/>
      <c r="DJ415" s="48"/>
      <c r="DK415" s="48"/>
      <c r="DL415" s="24" cm="1">
        <f t="array" ref="DL415">SUM(DF415:DK415)</f>
        <v>0</v>
      </c>
      <c r="DM415" s="19"/>
      <c r="DN415" s="19"/>
    </row>
    <row r="416" ht="29.95" customHeight="1">
      <c r="DE416" t="s" s="11">
        <v>32</v>
      </c>
      <c r="DF416" s="53">
        <v>1</v>
      </c>
      <c r="DG416" s="82">
        <v>1</v>
      </c>
      <c r="DH416" s="82">
        <v>1</v>
      </c>
      <c r="DI416" s="82">
        <v>1</v>
      </c>
      <c r="DJ416" s="82">
        <v>1</v>
      </c>
      <c r="DK416" s="48"/>
      <c r="DL416" s="24" cm="1">
        <f t="array" ref="DL416">SUM(DF416:DK416)</f>
        <v>5</v>
      </c>
      <c r="DM416" s="19"/>
      <c r="DN416" s="19"/>
    </row>
    <row r="417" ht="29.95" customHeight="1">
      <c r="DE417" t="s" s="32">
        <v>50</v>
      </c>
      <c r="DF417" s="55"/>
      <c r="DG417" s="48"/>
      <c r="DH417" s="48"/>
      <c r="DI417" s="48"/>
      <c r="DJ417" s="48"/>
      <c r="DK417" s="48"/>
      <c r="DL417" s="24" cm="1">
        <f t="array" ref="DL417">SUM(DF417:DK417)</f>
        <v>0</v>
      </c>
      <c r="DM417" s="19"/>
      <c r="DN417" s="19"/>
    </row>
    <row r="418" ht="29.95" customHeight="1">
      <c r="DE418" t="s" s="32">
        <v>52</v>
      </c>
      <c r="DF418" s="55"/>
      <c r="DG418" s="48"/>
      <c r="DH418" s="48"/>
      <c r="DI418" s="48"/>
      <c r="DJ418" s="48"/>
      <c r="DK418" s="48"/>
      <c r="DL418" s="24" cm="1">
        <f t="array" ref="DL418">SUM(DF418:DK418)</f>
        <v>0</v>
      </c>
      <c r="DM418" s="19"/>
      <c r="DN418" s="19"/>
    </row>
    <row r="419" ht="29.95" customHeight="1">
      <c r="DE419" t="s" s="32">
        <v>51</v>
      </c>
      <c r="DF419" s="55"/>
      <c r="DG419" s="48"/>
      <c r="DH419" s="48"/>
      <c r="DI419" s="48"/>
      <c r="DJ419" s="48"/>
      <c r="DK419" s="48"/>
      <c r="DL419" s="24" cm="1">
        <f t="array" ref="DL419">SUM(DF419:DK419)</f>
        <v>0</v>
      </c>
      <c r="DM419" s="19"/>
      <c r="DN419" s="19"/>
    </row>
    <row r="420" ht="29.95" customHeight="1">
      <c r="DE420" t="s" s="95">
        <v>35</v>
      </c>
      <c r="DF420" s="134">
        <v>1</v>
      </c>
      <c r="DG420" s="133">
        <v>1</v>
      </c>
      <c r="DH420" s="48"/>
      <c r="DI420" s="48"/>
      <c r="DJ420" s="48"/>
      <c r="DK420" s="48"/>
      <c r="DL420" s="24" cm="1">
        <f t="array" ref="DL420">SUM(DF420:DK420)</f>
        <v>2</v>
      </c>
      <c r="DM420" s="19"/>
      <c r="DN420" s="19"/>
    </row>
    <row r="421" ht="29.95" customHeight="1">
      <c r="DE421" t="s" s="95">
        <v>22</v>
      </c>
      <c r="DF421" s="134">
        <v>1</v>
      </c>
      <c r="DG421" s="48"/>
      <c r="DH421" s="133">
        <v>1</v>
      </c>
      <c r="DI421" s="48"/>
      <c r="DJ421" s="133">
        <v>1</v>
      </c>
      <c r="DK421" s="48"/>
      <c r="DL421" s="24" cm="1">
        <f t="array" ref="DL421">SUM(DF421:DK421)</f>
        <v>3</v>
      </c>
      <c r="DM421" s="19"/>
      <c r="DN421" s="19"/>
    </row>
    <row r="422" ht="29.95" customHeight="1">
      <c r="DE422" t="s" s="95">
        <v>10</v>
      </c>
      <c r="DF422" s="55"/>
      <c r="DG422" s="48"/>
      <c r="DH422" s="133">
        <v>1</v>
      </c>
      <c r="DI422" s="133">
        <v>1</v>
      </c>
      <c r="DJ422" s="133">
        <v>1</v>
      </c>
      <c r="DK422" s="133">
        <v>1</v>
      </c>
      <c r="DL422" s="24" cm="1">
        <f t="array" ref="DL422">SUM(DF422:DK422)</f>
        <v>4</v>
      </c>
      <c r="DM422" s="19"/>
      <c r="DN422" s="19"/>
    </row>
    <row r="423" ht="29.95" customHeight="1">
      <c r="DE423" t="s" s="95">
        <v>112</v>
      </c>
      <c r="DF423" s="55"/>
      <c r="DG423" s="48"/>
      <c r="DH423" s="48"/>
      <c r="DI423" s="48"/>
      <c r="DJ423" s="48"/>
      <c r="DK423" s="48"/>
      <c r="DL423" s="24" cm="1">
        <f t="array" ref="DL423">SUM(DF423:DK423)</f>
        <v>0</v>
      </c>
      <c r="DM423" s="19"/>
      <c r="DN423" s="19"/>
    </row>
    <row r="424" ht="29.95" customHeight="1">
      <c r="DE424" t="s" s="95">
        <v>113</v>
      </c>
      <c r="DF424" s="55"/>
      <c r="DG424" s="48"/>
      <c r="DH424" s="48"/>
      <c r="DI424" s="48"/>
      <c r="DJ424" s="48"/>
      <c r="DK424" s="48"/>
      <c r="DL424" s="24" cm="1">
        <f t="array" ref="DL424">SUM(DF424:DK424)</f>
        <v>0</v>
      </c>
      <c r="DM424" s="19"/>
      <c r="DN424" s="19"/>
    </row>
    <row r="425" ht="29.95" customHeight="1">
      <c r="DE425" t="s" s="44">
        <v>70</v>
      </c>
      <c r="DF425" s="55"/>
      <c r="DG425" s="48"/>
      <c r="DH425" s="48"/>
      <c r="DI425" s="48"/>
      <c r="DJ425" s="48"/>
      <c r="DK425" s="48"/>
      <c r="DL425" s="24" cm="1">
        <f t="array" ref="DL425">SUM(DF425:DK425)</f>
        <v>0</v>
      </c>
      <c r="DM425" s="19"/>
      <c r="DN425" s="19"/>
    </row>
    <row r="426" ht="29.95" customHeight="1">
      <c r="DE426" t="s" s="44">
        <v>58</v>
      </c>
      <c r="DF426" s="55"/>
      <c r="DG426" s="48"/>
      <c r="DH426" s="48"/>
      <c r="DI426" s="48"/>
      <c r="DJ426" s="48"/>
      <c r="DK426" s="48"/>
      <c r="DL426" s="24" cm="1">
        <f t="array" ref="DL426">SUM(DF426:DK426)</f>
        <v>0</v>
      </c>
      <c r="DM426" s="19"/>
      <c r="DN426" s="19"/>
    </row>
    <row r="427" ht="29.95" customHeight="1">
      <c r="DE427" t="s" s="44">
        <v>59</v>
      </c>
      <c r="DF427" s="55"/>
      <c r="DG427" s="48"/>
      <c r="DH427" s="48"/>
      <c r="DI427" s="48"/>
      <c r="DJ427" s="48"/>
      <c r="DK427" s="48"/>
      <c r="DL427" s="24" cm="1">
        <f t="array" ref="DL427">SUM(DF427:DK427)</f>
        <v>0</v>
      </c>
      <c r="DM427" s="19"/>
      <c r="DN427" s="19"/>
    </row>
    <row r="428" ht="22.95" customHeight="1">
      <c r="DE428" t="s" s="44">
        <v>45</v>
      </c>
      <c r="DF428" s="53">
        <v>1</v>
      </c>
      <c r="DG428" s="82">
        <v>1</v>
      </c>
      <c r="DH428" s="82">
        <v>1</v>
      </c>
      <c r="DI428" s="82">
        <v>1</v>
      </c>
      <c r="DJ428" s="82">
        <v>1</v>
      </c>
      <c r="DK428" s="48"/>
      <c r="DL428" s="24" cm="1">
        <f t="array" ref="DL428">SUM(DF428:DK428)</f>
        <v>5</v>
      </c>
      <c r="DM428" s="19"/>
      <c r="DN428" s="19"/>
    </row>
    <row r="429" ht="27.65" customHeight="1">
      <c r="DE429" t="s" s="44">
        <v>46</v>
      </c>
      <c r="DF429" s="53">
        <v>1</v>
      </c>
      <c r="DG429" s="82">
        <v>1</v>
      </c>
      <c r="DH429" s="82">
        <v>1</v>
      </c>
      <c r="DI429" s="48"/>
      <c r="DJ429" s="82">
        <v>1</v>
      </c>
      <c r="DK429" s="48"/>
      <c r="DL429" s="24" cm="1">
        <f t="array" ref="DL429">SUM(DF429:DK429)</f>
        <v>4</v>
      </c>
      <c r="DM429" s="19"/>
      <c r="DN429" s="19"/>
    </row>
    <row r="430" ht="27.65" customHeight="1">
      <c r="DE430" t="s" s="44">
        <v>191</v>
      </c>
      <c r="DF430" s="53">
        <v>1</v>
      </c>
      <c r="DG430" s="48"/>
      <c r="DH430" s="82">
        <v>1</v>
      </c>
      <c r="DI430" s="82">
        <v>1</v>
      </c>
      <c r="DJ430" s="48"/>
      <c r="DK430" s="48"/>
      <c r="DL430" s="24" cm="1">
        <f t="array" ref="DL430">SUM(DF430:DK430)</f>
        <v>3</v>
      </c>
      <c r="DM430" s="19"/>
      <c r="DN430" s="19"/>
    </row>
    <row r="431" ht="29.95" customHeight="1">
      <c r="DE431" t="s" s="44">
        <v>91</v>
      </c>
      <c r="DF431" s="55"/>
      <c r="DG431" s="48"/>
      <c r="DH431" s="48"/>
      <c r="DI431" s="48"/>
      <c r="DJ431" s="48"/>
      <c r="DK431" s="48"/>
      <c r="DL431" s="24" cm="1">
        <f t="array" ref="DL431">SUM(DF431:DK431)</f>
        <v>0</v>
      </c>
      <c r="DM431" s="19"/>
      <c r="DN431" s="19"/>
    </row>
    <row r="432" ht="29.95" customHeight="1">
      <c r="DE432" t="s" s="44">
        <v>48</v>
      </c>
      <c r="DF432" s="53">
        <v>1</v>
      </c>
      <c r="DG432" s="48"/>
      <c r="DH432" s="82">
        <v>1</v>
      </c>
      <c r="DI432" s="48"/>
      <c r="DJ432" s="48"/>
      <c r="DK432" s="48"/>
      <c r="DL432" s="24" cm="1">
        <f t="array" ref="DL432">SUM(DF432:DK432)</f>
        <v>2</v>
      </c>
      <c r="DM432" s="24">
        <v>2</v>
      </c>
      <c r="DN432" s="19"/>
    </row>
    <row r="433" ht="29.95" customHeight="1">
      <c r="DE433" t="s" s="44">
        <v>49</v>
      </c>
      <c r="DF433" s="53">
        <v>1</v>
      </c>
      <c r="DG433" s="48"/>
      <c r="DH433" s="82">
        <v>1</v>
      </c>
      <c r="DI433" s="48"/>
      <c r="DJ433" s="48"/>
      <c r="DK433" s="48"/>
      <c r="DL433" s="24" cm="1">
        <f t="array" ref="DL433">SUM(DF433:DK433)</f>
        <v>2</v>
      </c>
      <c r="DM433" s="24">
        <v>2</v>
      </c>
      <c r="DN433" s="19"/>
    </row>
    <row r="434" ht="29.95" customHeight="1">
      <c r="DE434" t="s" s="44">
        <v>101</v>
      </c>
      <c r="DF434" s="55"/>
      <c r="DG434" s="48"/>
      <c r="DH434" s="48"/>
      <c r="DI434" s="48"/>
      <c r="DJ434" s="48"/>
      <c r="DK434" s="48"/>
      <c r="DL434" s="24" cm="1">
        <f t="array" ref="DL434">SUM(DF434:DK434)</f>
        <v>0</v>
      </c>
      <c r="DM434" s="19"/>
      <c r="DN434" s="19"/>
    </row>
    <row r="435" ht="29.95" customHeight="1">
      <c r="DE435" t="s" s="32">
        <v>115</v>
      </c>
      <c r="DF435" s="53">
        <v>1</v>
      </c>
      <c r="DG435" s="48"/>
      <c r="DH435" s="82">
        <v>1</v>
      </c>
      <c r="DI435" s="48"/>
      <c r="DJ435" s="48"/>
      <c r="DK435" s="48"/>
      <c r="DL435" s="24" cm="1">
        <f t="array" ref="DL435">SUM(DF435:DK435)</f>
        <v>2</v>
      </c>
      <c r="DM435" s="19"/>
      <c r="DN435" s="19"/>
    </row>
    <row r="436" ht="29.95" customHeight="1">
      <c r="DE436" t="s" s="32">
        <v>109</v>
      </c>
      <c r="DF436" s="55"/>
      <c r="DG436" s="82">
        <v>1</v>
      </c>
      <c r="DH436" s="48"/>
      <c r="DI436" s="82">
        <v>1</v>
      </c>
      <c r="DJ436" s="48"/>
      <c r="DK436" s="82">
        <v>1</v>
      </c>
      <c r="DL436" s="24" cm="1">
        <f t="array" ref="DL436">SUM(DF436:DK436)</f>
        <v>3</v>
      </c>
      <c r="DM436" s="19"/>
      <c r="DN436" s="19"/>
    </row>
    <row r="437" ht="29.95" customHeight="1">
      <c r="DE437" t="s" s="32">
        <v>154</v>
      </c>
      <c r="DF437" s="53">
        <v>1</v>
      </c>
      <c r="DG437" s="48"/>
      <c r="DH437" s="48"/>
      <c r="DI437" s="48"/>
      <c r="DJ437" s="48"/>
      <c r="DK437" s="48"/>
      <c r="DL437" s="24" cm="1">
        <f t="array" ref="DL437">SUM(DF437:DK437)</f>
        <v>1</v>
      </c>
      <c r="DM437" s="19"/>
      <c r="DN437" s="19"/>
    </row>
    <row r="438" ht="29.95" customHeight="1">
      <c r="DE438" t="s" s="32">
        <v>155</v>
      </c>
      <c r="DF438" s="53">
        <v>1</v>
      </c>
      <c r="DG438" s="48"/>
      <c r="DH438" s="82">
        <v>1</v>
      </c>
      <c r="DI438" s="48"/>
      <c r="DJ438" s="48"/>
      <c r="DK438" s="48"/>
      <c r="DL438" s="24" cm="1">
        <f t="array" ref="DL438">SUM(DF438:DK438)</f>
        <v>2</v>
      </c>
      <c r="DM438" s="19"/>
      <c r="DN438" s="24">
        <v>2</v>
      </c>
    </row>
    <row r="439" ht="29.95" customHeight="1">
      <c r="DE439" t="s" s="32">
        <v>156</v>
      </c>
      <c r="DF439" s="55"/>
      <c r="DG439" s="48"/>
      <c r="DH439" s="48"/>
      <c r="DI439" s="48"/>
      <c r="DJ439" s="82">
        <v>1</v>
      </c>
      <c r="DK439" s="48"/>
      <c r="DL439" s="24" cm="1">
        <f t="array" ref="DL439">SUM(DF439:DK439)</f>
        <v>1</v>
      </c>
      <c r="DM439" s="19"/>
      <c r="DN439" s="19"/>
    </row>
    <row r="440" ht="29.95" customHeight="1">
      <c r="DE440" t="s" s="32">
        <v>209</v>
      </c>
      <c r="DF440" s="55"/>
      <c r="DG440" s="48"/>
      <c r="DH440" s="48"/>
      <c r="DI440" s="48"/>
      <c r="DJ440" s="82">
        <v>1</v>
      </c>
      <c r="DK440" s="48"/>
      <c r="DL440" s="24" cm="1">
        <f t="array" ref="DL440">SUM(DF440:DK440)</f>
        <v>1</v>
      </c>
      <c r="DM440" s="19"/>
      <c r="DN440" s="19"/>
    </row>
    <row r="441" ht="29.95" customHeight="1">
      <c r="DE441" t="s" s="32">
        <v>102</v>
      </c>
      <c r="DF441" s="183">
        <v>1</v>
      </c>
      <c r="DG441" s="48"/>
      <c r="DH441" s="184">
        <v>1</v>
      </c>
      <c r="DI441" s="48"/>
      <c r="DJ441" s="184">
        <v>1</v>
      </c>
      <c r="DK441" s="48"/>
      <c r="DL441" s="24" cm="1">
        <f t="array" ref="DL441">SUM(DF441:DK441)</f>
        <v>3</v>
      </c>
      <c r="DM441" s="19"/>
      <c r="DN441" s="19"/>
    </row>
    <row r="442" ht="29.95" customHeight="1">
      <c r="DE442" t="s" s="49">
        <v>30</v>
      </c>
      <c r="DF442" s="12" cm="1">
        <f t="array" ref="DF442">SUM(DF404:DF438)</f>
        <v>13</v>
      </c>
      <c r="DG442" s="24" cm="1">
        <f t="array" ref="DG442">SUM(DG404:DG438)</f>
        <v>6</v>
      </c>
      <c r="DH442" s="24" cm="1">
        <f t="array" ref="DH442">SUM(DH404:DH438)</f>
        <v>12</v>
      </c>
      <c r="DI442" s="24" cm="1">
        <f t="array" ref="DI442">SUM(DI404:DI438)</f>
        <v>6</v>
      </c>
      <c r="DJ442" s="24" cm="1">
        <f t="array" ref="DJ442">SUM(DJ404:DJ441)</f>
        <v>9</v>
      </c>
      <c r="DK442" s="24" cm="1">
        <f t="array" ref="DK442">SUM(DK404:DK438)</f>
        <v>2</v>
      </c>
      <c r="DL442" s="24" cm="1">
        <f t="array" ref="DL442">SUM(DL404:DL438)</f>
        <v>45</v>
      </c>
      <c r="DM442" s="19"/>
      <c r="DN442" s="19"/>
    </row>
    <row r="444" ht="27.65" customHeight="1">
      <c r="DO444" t="s" s="2">
        <v>150</v>
      </c>
      <c r="DP444" s="2"/>
      <c r="DQ444" s="2"/>
      <c r="DR444" s="2"/>
      <c r="DS444" s="2"/>
      <c r="DT444" s="2"/>
      <c r="DU444" s="2"/>
      <c r="DV444" s="2"/>
      <c r="DW444" s="2"/>
      <c r="DX444" s="2"/>
    </row>
    <row r="445" ht="44.3" customHeight="1">
      <c r="DO445" s="35"/>
      <c r="DP445" t="s" s="3">
        <v>223</v>
      </c>
      <c r="DQ445" t="s" s="3">
        <v>224</v>
      </c>
      <c r="DR445" t="s" s="3">
        <v>225</v>
      </c>
      <c r="DS445" t="s" s="3">
        <v>226</v>
      </c>
      <c r="DT445" t="s" s="3">
        <v>227</v>
      </c>
      <c r="DU445" t="s" s="3">
        <v>228</v>
      </c>
      <c r="DV445" t="s" s="3">
        <v>216</v>
      </c>
      <c r="DW445" t="s" s="3">
        <v>68</v>
      </c>
      <c r="DX445" t="s" s="3">
        <v>69</v>
      </c>
    </row>
    <row r="446" ht="27.85" customHeight="1">
      <c r="DO446" t="s" s="6">
        <v>55</v>
      </c>
      <c r="DP446" s="136"/>
      <c r="DQ446" s="123"/>
      <c r="DR446" s="123"/>
      <c r="DS446" s="123"/>
      <c r="DT446" s="123"/>
      <c r="DU446" s="123"/>
      <c r="DV446" s="123"/>
      <c r="DW446" s="123"/>
      <c r="DX446" s="123"/>
    </row>
    <row r="447" ht="27.6" customHeight="1">
      <c r="DO447" t="s" s="11">
        <v>56</v>
      </c>
      <c r="DP447" s="55"/>
      <c r="DQ447" s="48"/>
      <c r="DR447" s="48"/>
      <c r="DS447" s="48"/>
      <c r="DT447" s="48"/>
      <c r="DU447" s="48"/>
      <c r="DV447" s="48"/>
      <c r="DW447" s="48"/>
      <c r="DX447" s="48"/>
    </row>
    <row r="448" ht="27.6" customHeight="1">
      <c r="DO448" t="s" s="11">
        <v>16</v>
      </c>
      <c r="DP448" s="55"/>
      <c r="DQ448" s="48"/>
      <c r="DR448" s="48"/>
      <c r="DS448" s="48"/>
      <c r="DT448" s="48"/>
      <c r="DU448" s="48"/>
      <c r="DV448" s="48"/>
      <c r="DW448" s="48"/>
      <c r="DX448" s="48"/>
    </row>
    <row r="449" ht="44.05" customHeight="1">
      <c r="DO449" t="s" s="11">
        <v>17</v>
      </c>
      <c r="DP449" s="55"/>
      <c r="DQ449" s="48"/>
      <c r="DR449" s="48"/>
      <c r="DS449" s="48"/>
      <c r="DT449" s="48"/>
      <c r="DU449" s="48"/>
      <c r="DV449" s="48"/>
      <c r="DW449" s="48"/>
      <c r="DX449" s="48"/>
    </row>
    <row r="450" ht="27.6" customHeight="1">
      <c r="DO450" t="s" s="11">
        <v>18</v>
      </c>
      <c r="DP450" s="55"/>
      <c r="DQ450" s="48"/>
      <c r="DR450" s="48"/>
      <c r="DS450" s="48"/>
      <c r="DT450" s="48"/>
      <c r="DU450" s="48"/>
      <c r="DV450" s="48"/>
      <c r="DW450" s="48"/>
      <c r="DX450" s="48"/>
    </row>
    <row r="451" ht="27.6" customHeight="1">
      <c r="DO451" t="s" s="11">
        <v>19</v>
      </c>
      <c r="DP451" s="55"/>
      <c r="DQ451" s="48"/>
      <c r="DR451" s="48"/>
      <c r="DS451" s="48"/>
      <c r="DT451" s="48"/>
      <c r="DU451" s="48"/>
      <c r="DV451" s="48"/>
      <c r="DW451" s="48"/>
      <c r="DX451" s="48"/>
    </row>
    <row r="452" ht="27.6" customHeight="1">
      <c r="DO452" t="s" s="11">
        <v>20</v>
      </c>
      <c r="DP452" s="55"/>
      <c r="DQ452" s="48"/>
      <c r="DR452" s="48"/>
      <c r="DS452" s="48"/>
      <c r="DT452" s="48"/>
      <c r="DU452" s="48"/>
      <c r="DV452" s="48"/>
      <c r="DW452" s="48"/>
      <c r="DX452" s="48"/>
    </row>
    <row r="453" ht="27.6" customHeight="1">
      <c r="DO453" t="s" s="11">
        <v>21</v>
      </c>
      <c r="DP453" s="55"/>
      <c r="DQ453" s="48"/>
      <c r="DR453" s="48"/>
      <c r="DS453" s="48"/>
      <c r="DT453" s="48"/>
      <c r="DU453" s="48"/>
      <c r="DV453" s="48"/>
      <c r="DW453" s="48"/>
      <c r="DX453" s="48"/>
    </row>
    <row r="454" ht="27.6" customHeight="1">
      <c r="DO454" t="s" s="11">
        <v>27</v>
      </c>
      <c r="DP454" s="55"/>
      <c r="DQ454" s="48"/>
      <c r="DR454" s="48"/>
      <c r="DS454" s="48"/>
      <c r="DT454" s="48"/>
      <c r="DU454" s="48"/>
      <c r="DV454" s="48"/>
      <c r="DW454" s="48"/>
      <c r="DX454" s="48"/>
    </row>
    <row r="455" ht="27.6" customHeight="1">
      <c r="DO455" t="s" s="11">
        <v>42</v>
      </c>
      <c r="DP455" s="55"/>
      <c r="DQ455" s="48"/>
      <c r="DR455" s="48"/>
      <c r="DS455" s="48"/>
      <c r="DT455" s="48"/>
      <c r="DU455" s="48"/>
      <c r="DV455" s="48"/>
      <c r="DW455" s="48"/>
      <c r="DX455" s="48"/>
    </row>
    <row r="456" ht="27.6" customHeight="1">
      <c r="DO456" t="s" s="11">
        <v>43</v>
      </c>
      <c r="DP456" s="55"/>
      <c r="DQ456" s="48"/>
      <c r="DR456" s="48"/>
      <c r="DS456" s="48"/>
      <c r="DT456" s="48"/>
      <c r="DU456" s="48"/>
      <c r="DV456" s="48"/>
      <c r="DW456" s="48"/>
      <c r="DX456" s="48"/>
    </row>
    <row r="457" ht="27.6" customHeight="1">
      <c r="DO457" t="s" s="11">
        <v>41</v>
      </c>
      <c r="DP457" s="55"/>
      <c r="DQ457" s="48"/>
      <c r="DR457" s="48"/>
      <c r="DS457" s="48"/>
      <c r="DT457" s="48"/>
      <c r="DU457" s="48"/>
      <c r="DV457" s="48"/>
      <c r="DW457" s="48"/>
      <c r="DX457" s="48"/>
    </row>
    <row r="458" ht="27.6" customHeight="1">
      <c r="DO458" t="s" s="11">
        <v>32</v>
      </c>
      <c r="DP458" s="55"/>
      <c r="DQ458" s="48"/>
      <c r="DR458" s="48"/>
      <c r="DS458" s="48"/>
      <c r="DT458" s="48"/>
      <c r="DU458" s="48"/>
      <c r="DV458" s="48"/>
      <c r="DW458" s="48"/>
      <c r="DX458" s="48"/>
    </row>
    <row r="459" ht="27.6" customHeight="1">
      <c r="DO459" t="s" s="64">
        <v>50</v>
      </c>
      <c r="DP459" s="55"/>
      <c r="DQ459" s="48"/>
      <c r="DR459" s="48"/>
      <c r="DS459" s="48"/>
      <c r="DT459" s="48"/>
      <c r="DU459" s="48"/>
      <c r="DV459" s="48"/>
      <c r="DW459" s="48"/>
      <c r="DX459" s="48"/>
    </row>
    <row r="460" ht="27.6" customHeight="1">
      <c r="DO460" t="s" s="64">
        <v>52</v>
      </c>
      <c r="DP460" s="55"/>
      <c r="DQ460" s="48"/>
      <c r="DR460" s="48"/>
      <c r="DS460" s="48"/>
      <c r="DT460" s="48"/>
      <c r="DU460" s="48"/>
      <c r="DV460" s="48"/>
      <c r="DW460" s="48"/>
      <c r="DX460" s="48"/>
    </row>
    <row r="461" ht="45.55" customHeight="1">
      <c r="DO461" t="s" s="64">
        <v>51</v>
      </c>
      <c r="DP461" s="55"/>
      <c r="DQ461" s="48"/>
      <c r="DR461" s="48"/>
      <c r="DS461" s="48"/>
      <c r="DT461" s="48"/>
      <c r="DU461" s="48"/>
      <c r="DV461" s="48"/>
      <c r="DW461" s="48"/>
      <c r="DX461" s="48"/>
    </row>
    <row r="462" ht="27.6" customHeight="1">
      <c r="DO462" t="s" s="95">
        <v>35</v>
      </c>
      <c r="DP462" s="55"/>
      <c r="DQ462" s="48"/>
      <c r="DR462" s="48"/>
      <c r="DS462" s="48"/>
      <c r="DT462" s="48"/>
      <c r="DU462" s="48"/>
      <c r="DV462" s="48"/>
      <c r="DW462" s="48"/>
      <c r="DX462" s="48"/>
    </row>
    <row r="463" ht="27.6" customHeight="1">
      <c r="DO463" t="s" s="95">
        <v>22</v>
      </c>
      <c r="DP463" s="55"/>
      <c r="DQ463" s="48"/>
      <c r="DR463" s="48"/>
      <c r="DS463" s="48"/>
      <c r="DT463" s="48"/>
      <c r="DU463" s="48"/>
      <c r="DV463" s="48"/>
      <c r="DW463" s="48"/>
      <c r="DX463" s="48"/>
    </row>
    <row r="464" ht="27.6" customHeight="1">
      <c r="DO464" t="s" s="95">
        <v>10</v>
      </c>
      <c r="DP464" s="55"/>
      <c r="DQ464" s="48"/>
      <c r="DR464" s="48"/>
      <c r="DS464" s="48"/>
      <c r="DT464" s="48"/>
      <c r="DU464" s="48"/>
      <c r="DV464" s="48"/>
      <c r="DW464" s="48"/>
      <c r="DX464" s="48"/>
    </row>
    <row r="465" ht="27.6" customHeight="1">
      <c r="DO465" t="s" s="95">
        <v>112</v>
      </c>
      <c r="DP465" s="55"/>
      <c r="DQ465" s="48"/>
      <c r="DR465" s="48"/>
      <c r="DS465" s="48"/>
      <c r="DT465" s="48"/>
      <c r="DU465" s="48"/>
      <c r="DV465" s="48"/>
      <c r="DW465" s="48"/>
      <c r="DX465" s="48"/>
    </row>
    <row r="466" ht="27.6" customHeight="1">
      <c r="DO466" t="s" s="95">
        <v>113</v>
      </c>
      <c r="DP466" s="55"/>
      <c r="DQ466" s="48"/>
      <c r="DR466" s="48"/>
      <c r="DS466" s="48"/>
      <c r="DT466" s="48"/>
      <c r="DU466" s="48"/>
      <c r="DV466" s="48"/>
      <c r="DW466" s="48"/>
      <c r="DX466" s="48"/>
    </row>
    <row r="467" ht="27.6" customHeight="1">
      <c r="DO467" t="s" s="44">
        <v>70</v>
      </c>
      <c r="DP467" s="55"/>
      <c r="DQ467" s="48"/>
      <c r="DR467" s="48"/>
      <c r="DS467" s="48"/>
      <c r="DT467" s="48"/>
      <c r="DU467" s="48"/>
      <c r="DV467" s="48"/>
      <c r="DW467" s="48"/>
      <c r="DX467" s="48"/>
    </row>
    <row r="468" ht="26.8" customHeight="1">
      <c r="DO468" t="s" s="44">
        <v>58</v>
      </c>
      <c r="DP468" s="55"/>
      <c r="DQ468" s="48"/>
      <c r="DR468" s="48"/>
      <c r="DS468" s="48"/>
      <c r="DT468" s="48"/>
      <c r="DU468" s="48"/>
      <c r="DV468" s="48"/>
      <c r="DW468" s="48"/>
      <c r="DX468" s="48"/>
    </row>
    <row r="469" ht="31.95" customHeight="1">
      <c r="DO469" t="s" s="44">
        <v>59</v>
      </c>
      <c r="DP469" s="55"/>
      <c r="DQ469" s="48"/>
      <c r="DR469" s="48"/>
      <c r="DS469" s="48"/>
      <c r="DT469" s="48"/>
      <c r="DU469" s="48"/>
      <c r="DV469" s="48"/>
      <c r="DW469" s="48"/>
      <c r="DX469" s="48"/>
    </row>
    <row r="470" ht="27.6" customHeight="1">
      <c r="DO470" t="s" s="44">
        <v>45</v>
      </c>
      <c r="DP470" s="55"/>
      <c r="DQ470" s="48"/>
      <c r="DR470" s="48"/>
      <c r="DS470" s="48"/>
      <c r="DT470" s="48"/>
      <c r="DU470" s="48"/>
      <c r="DV470" s="48"/>
      <c r="DW470" s="48"/>
      <c r="DX470" s="48"/>
    </row>
    <row r="471" ht="32.05" customHeight="1">
      <c r="DO471" t="s" s="44">
        <v>46</v>
      </c>
      <c r="DP471" s="55"/>
      <c r="DQ471" s="48"/>
      <c r="DR471" s="48"/>
      <c r="DS471" s="48"/>
      <c r="DT471" s="48"/>
      <c r="DU471" s="48"/>
      <c r="DV471" s="48"/>
      <c r="DW471" s="48"/>
      <c r="DX471" s="48"/>
    </row>
    <row r="472" ht="20.05" customHeight="1">
      <c r="DO472" t="s" s="44">
        <v>191</v>
      </c>
      <c r="DP472" s="55"/>
      <c r="DQ472" s="48"/>
      <c r="DR472" s="48"/>
      <c r="DS472" s="48"/>
      <c r="DT472" s="48"/>
      <c r="DU472" s="48"/>
      <c r="DV472" s="48"/>
      <c r="DW472" s="48"/>
      <c r="DX472" s="48"/>
    </row>
    <row r="473" ht="27.6" customHeight="1">
      <c r="DO473" t="s" s="64">
        <v>91</v>
      </c>
      <c r="DP473" s="55"/>
      <c r="DQ473" s="48"/>
      <c r="DR473" s="48"/>
      <c r="DS473" s="48"/>
      <c r="DT473" s="48"/>
      <c r="DU473" s="48"/>
      <c r="DV473" s="48"/>
      <c r="DW473" s="48"/>
      <c r="DX473" s="48"/>
    </row>
    <row r="474" ht="27.6" customHeight="1">
      <c r="DO474" t="s" s="21">
        <v>48</v>
      </c>
      <c r="DP474" s="193">
        <v>1</v>
      </c>
      <c r="DQ474" s="48"/>
      <c r="DR474" s="189">
        <v>1</v>
      </c>
      <c r="DS474" s="48"/>
      <c r="DT474" s="48"/>
      <c r="DU474" s="48"/>
      <c r="DV474" s="48"/>
      <c r="DW474" s="48"/>
      <c r="DX474" s="48"/>
    </row>
    <row r="475" ht="27.6" customHeight="1">
      <c r="DO475" t="s" s="21">
        <v>49</v>
      </c>
      <c r="DP475" s="193">
        <v>1</v>
      </c>
      <c r="DQ475" s="48"/>
      <c r="DR475" s="189">
        <v>1</v>
      </c>
      <c r="DS475" s="48"/>
      <c r="DT475" s="48"/>
      <c r="DU475" s="48"/>
      <c r="DV475" s="48"/>
      <c r="DW475" s="48"/>
      <c r="DX475" s="48"/>
    </row>
    <row r="476" ht="26.55" customHeight="1">
      <c r="DO476" t="s" s="44">
        <v>101</v>
      </c>
      <c r="DP476" s="55"/>
      <c r="DQ476" s="48"/>
      <c r="DR476" s="48"/>
      <c r="DS476" s="48"/>
      <c r="DT476" s="48"/>
      <c r="DU476" s="48"/>
      <c r="DV476" s="48"/>
      <c r="DW476" s="48"/>
      <c r="DX476" s="48"/>
    </row>
    <row r="477" ht="31.85" customHeight="1">
      <c r="DO477" t="s" s="32">
        <v>115</v>
      </c>
      <c r="DP477" s="193">
        <v>1</v>
      </c>
      <c r="DQ477" s="48"/>
      <c r="DR477" s="189">
        <v>1</v>
      </c>
      <c r="DS477" s="48"/>
      <c r="DT477" s="48"/>
      <c r="DU477" s="48"/>
      <c r="DV477" s="48"/>
      <c r="DW477" s="48"/>
      <c r="DX477" s="48"/>
    </row>
    <row r="478" ht="28.05" customHeight="1">
      <c r="DO478" t="s" s="32">
        <v>109</v>
      </c>
      <c r="DP478" s="55"/>
      <c r="DQ478" s="48"/>
      <c r="DR478" s="48"/>
      <c r="DS478" s="48"/>
      <c r="DT478" s="48"/>
      <c r="DU478" s="48"/>
      <c r="DV478" s="48"/>
      <c r="DW478" s="48"/>
      <c r="DX478" s="48"/>
    </row>
    <row r="479" ht="28.05" customHeight="1">
      <c r="DO479" t="s" s="32">
        <v>154</v>
      </c>
      <c r="DP479" s="55"/>
      <c r="DQ479" s="48"/>
      <c r="DR479" s="48"/>
      <c r="DS479" s="48"/>
      <c r="DT479" s="48"/>
      <c r="DU479" s="48"/>
      <c r="DV479" s="48"/>
      <c r="DW479" s="48"/>
      <c r="DX479" s="48"/>
    </row>
    <row r="480" ht="28.05" customHeight="1">
      <c r="DO480" t="s" s="32">
        <v>155</v>
      </c>
      <c r="DP480" s="55"/>
      <c r="DQ480" s="48"/>
      <c r="DR480" s="48"/>
      <c r="DS480" s="48"/>
      <c r="DT480" s="48"/>
      <c r="DU480" s="48"/>
      <c r="DV480" s="48"/>
      <c r="DW480" s="48"/>
      <c r="DX480" s="48"/>
    </row>
    <row r="481" ht="28.05" customHeight="1">
      <c r="DO481" t="s" s="32">
        <v>156</v>
      </c>
      <c r="DP481" s="55"/>
      <c r="DQ481" s="48"/>
      <c r="DR481" s="48"/>
      <c r="DS481" s="48"/>
      <c r="DT481" s="48"/>
      <c r="DU481" s="48"/>
      <c r="DV481" s="48"/>
      <c r="DW481" s="48"/>
      <c r="DX481" s="48"/>
    </row>
    <row r="482" ht="28.05" customHeight="1">
      <c r="DO482" t="s" s="32">
        <v>209</v>
      </c>
      <c r="DP482" s="55"/>
      <c r="DQ482" s="48"/>
      <c r="DR482" s="48"/>
      <c r="DS482" s="48"/>
      <c r="DT482" s="48"/>
      <c r="DU482" s="48"/>
      <c r="DV482" s="48"/>
      <c r="DW482" s="48"/>
      <c r="DX482" s="48"/>
    </row>
    <row r="483" ht="30.75" customHeight="1">
      <c r="DO483" t="s" s="32">
        <v>102</v>
      </c>
      <c r="DP483" s="55"/>
      <c r="DQ483" s="48"/>
      <c r="DR483" s="48"/>
      <c r="DS483" s="48"/>
      <c r="DT483" s="48"/>
      <c r="DU483" s="48"/>
      <c r="DV483" s="48"/>
      <c r="DW483" s="48"/>
      <c r="DX483" s="48"/>
    </row>
    <row r="484" ht="21" customHeight="1">
      <c r="DO484" t="s" s="49">
        <v>30</v>
      </c>
      <c r="DP484" s="12" cm="1">
        <f t="array" ref="DP484">SUM(DP446:DP483)</f>
        <v>3</v>
      </c>
      <c r="DQ484" s="24" cm="1">
        <f t="array" ref="DQ484">SUM(DQ446:DQ483)</f>
        <v>0</v>
      </c>
      <c r="DR484" s="24" cm="1">
        <f t="array" ref="DR484">SUM(DR446:DR483)</f>
        <v>3</v>
      </c>
      <c r="DS484" s="24" cm="1">
        <f t="array" ref="DS484">SUM(DS446:DS483)</f>
        <v>0</v>
      </c>
      <c r="DT484" s="24" cm="1">
        <f t="array" ref="DT484">SUM(DT446:DT483)</f>
        <v>0</v>
      </c>
      <c r="DU484" s="24" cm="1">
        <f t="array" ref="DU484">SUM(DU446:DU483)</f>
        <v>0</v>
      </c>
      <c r="DV484" s="24" cm="1">
        <f t="array" ref="DV484">DR484+DP484+DB401+CH317</f>
        <v>13</v>
      </c>
      <c r="DW484" s="24" cm="1">
        <f t="array" ref="DW484">SUM(DW446:DW483)</f>
        <v>0</v>
      </c>
      <c r="DX484" s="24" cm="1">
        <f t="array" ref="DX484">SUM(DX446:DX483)</f>
        <v>0</v>
      </c>
    </row>
  </sheetData>
  <mergeCells count="22">
    <mergeCell ref="L41:AB41"/>
    <mergeCell ref="M66:U66"/>
    <mergeCell ref="M72:P72"/>
    <mergeCell ref="M89:P89"/>
    <mergeCell ref="R55:U55"/>
    <mergeCell ref="R57:U57"/>
    <mergeCell ref="R56:U56"/>
    <mergeCell ref="AC91:AL91"/>
    <mergeCell ref="AD93:AF121"/>
    <mergeCell ref="AD92:AF92"/>
    <mergeCell ref="AG93:AG121"/>
    <mergeCell ref="AM124:AV124"/>
    <mergeCell ref="AN125:AP125"/>
    <mergeCell ref="AN126:AP155"/>
    <mergeCell ref="AQ126:AQ155"/>
    <mergeCell ref="AW158:BF158"/>
    <mergeCell ref="BG194:BP194"/>
    <mergeCell ref="BQ235:BZ235"/>
    <mergeCell ref="CA277:CJ277"/>
    <mergeCell ref="CK319:CT319"/>
    <mergeCell ref="CU361:DD361"/>
    <mergeCell ref="DO444:DX44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B3:DS522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2.61719" style="196" customWidth="1"/>
    <col min="2" max="2" width="30" style="196" customWidth="1"/>
    <col min="3" max="7" width="16.3516" style="196" customWidth="1"/>
    <col min="8" max="15" width="16.625" style="196" customWidth="1"/>
    <col min="16" max="17" width="11.8359" style="211" customWidth="1"/>
    <col min="18" max="18" width="42.9297" style="211" customWidth="1"/>
    <col min="19" max="23" width="23.0938" style="211" customWidth="1"/>
    <col min="24" max="24" width="24.8125" style="227" customWidth="1"/>
    <col min="25" max="33" width="17.6719" style="227" customWidth="1"/>
    <col min="34" max="34" width="28.1172" style="231" customWidth="1"/>
    <col min="35" max="43" width="19.4375" style="231" customWidth="1"/>
    <col min="44" max="44" width="24.8125" style="238" customWidth="1"/>
    <col min="45" max="53" width="17.6719" style="238" customWidth="1"/>
    <col min="54" max="54" width="28.6953" style="239" customWidth="1"/>
    <col min="55" max="63" width="19.0703" style="239" customWidth="1"/>
    <col min="64" max="64" width="24.8125" style="241" customWidth="1"/>
    <col min="65" max="73" width="17.6719" style="241" customWidth="1"/>
    <col min="74" max="74" width="27.4297" style="242" customWidth="1"/>
    <col min="75" max="83" width="19.5078" style="242" customWidth="1"/>
    <col min="84" max="84" width="24.8125" style="244" customWidth="1"/>
    <col min="85" max="93" width="17.6719" style="244" customWidth="1"/>
    <col min="94" max="94" width="29.8516" style="245" customWidth="1"/>
    <col min="95" max="103" width="19.5938" style="245" customWidth="1"/>
    <col min="104" max="104" width="24.8125" style="246" customWidth="1"/>
    <col min="105" max="113" width="17.6719" style="246" customWidth="1"/>
    <col min="114" max="114" width="29.8516" style="247" customWidth="1"/>
    <col min="115" max="123" width="19.5938" style="247" customWidth="1"/>
    <col min="124" max="16384" width="16.3516" style="247" customWidth="1"/>
  </cols>
  <sheetData>
    <row r="1" ht="211.95" customHeight="1"/>
    <row r="2" ht="27.65" customHeight="1">
      <c r="B2" t="s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.25" customHeight="1">
      <c r="B3" t="s" s="3">
        <v>1</v>
      </c>
      <c r="C3" t="s" s="3">
        <v>229</v>
      </c>
      <c r="D3" t="s" s="3">
        <v>2</v>
      </c>
      <c r="E3" t="s" s="3">
        <v>3</v>
      </c>
      <c r="F3" t="s" s="3">
        <v>4</v>
      </c>
      <c r="G3" t="s" s="3">
        <v>158</v>
      </c>
      <c r="H3" t="s" s="3">
        <v>151</v>
      </c>
      <c r="I3" t="s" s="3">
        <v>230</v>
      </c>
      <c r="J3" t="s" s="3">
        <v>5</v>
      </c>
      <c r="K3" t="s" s="3">
        <v>6</v>
      </c>
      <c r="L3" t="s" s="3">
        <v>160</v>
      </c>
      <c r="M3" t="s" s="3">
        <v>8</v>
      </c>
      <c r="N3" t="s" s="3">
        <v>9</v>
      </c>
      <c r="O3" t="s" s="3">
        <v>161</v>
      </c>
    </row>
    <row r="4" ht="25.55" customHeight="1">
      <c r="B4" t="s" s="6">
        <v>16</v>
      </c>
      <c r="C4" t="s" s="197">
        <v>163</v>
      </c>
      <c r="D4" t="s" s="9">
        <v>162</v>
      </c>
      <c r="E4" t="s" s="9">
        <v>25</v>
      </c>
      <c r="F4" t="s" s="9">
        <v>184</v>
      </c>
      <c r="G4" t="s" s="9">
        <v>231</v>
      </c>
      <c r="H4" s="90">
        <v>4500</v>
      </c>
      <c r="I4" s="198">
        <v>0</v>
      </c>
      <c r="J4" t="s" s="9">
        <v>12</v>
      </c>
      <c r="K4" t="s" s="9">
        <v>12</v>
      </c>
      <c r="L4" t="s" s="9">
        <v>12</v>
      </c>
      <c r="M4" t="s" s="9">
        <v>14</v>
      </c>
      <c r="N4" t="s" s="9">
        <v>15</v>
      </c>
      <c r="O4" t="s" s="9">
        <v>13</v>
      </c>
    </row>
    <row r="5" ht="25.35" customHeight="1">
      <c r="B5" t="s" s="11">
        <v>18</v>
      </c>
      <c r="C5" t="s" s="26">
        <v>166</v>
      </c>
      <c r="D5" t="s" s="14">
        <v>162</v>
      </c>
      <c r="E5" s="92">
        <v>945</v>
      </c>
      <c r="F5" t="s" s="14">
        <v>11</v>
      </c>
      <c r="G5" s="19"/>
      <c r="H5" s="93">
        <v>945</v>
      </c>
      <c r="I5" s="161">
        <v>0</v>
      </c>
      <c r="J5" t="s" s="14">
        <v>12</v>
      </c>
      <c r="K5" t="s" s="14">
        <v>12</v>
      </c>
      <c r="L5" t="s" s="14">
        <v>12</v>
      </c>
      <c r="M5" t="s" s="14">
        <v>14</v>
      </c>
      <c r="N5" t="s" s="14">
        <v>15</v>
      </c>
      <c r="O5" t="s" s="14">
        <v>13</v>
      </c>
    </row>
    <row r="6" ht="25.35" customHeight="1">
      <c r="B6" t="s" s="11">
        <v>24</v>
      </c>
      <c r="C6" t="s" s="26">
        <v>172</v>
      </c>
      <c r="D6" t="s" s="162">
        <v>173</v>
      </c>
      <c r="E6" t="s" s="14">
        <v>25</v>
      </c>
      <c r="F6" t="s" s="14">
        <v>26</v>
      </c>
      <c r="G6" s="19"/>
      <c r="H6" s="161">
        <v>0</v>
      </c>
      <c r="I6" s="161">
        <v>0</v>
      </c>
      <c r="J6" t="s" s="14">
        <v>13</v>
      </c>
      <c r="K6" t="s" s="14">
        <v>12</v>
      </c>
      <c r="L6" t="s" s="14">
        <v>13</v>
      </c>
      <c r="M6" t="s" s="14">
        <v>15</v>
      </c>
      <c r="N6" t="s" s="14">
        <v>15</v>
      </c>
      <c r="O6" t="s" s="14">
        <v>13</v>
      </c>
    </row>
    <row r="7" ht="25.35" customHeight="1">
      <c r="B7" t="s" s="11">
        <v>27</v>
      </c>
      <c r="C7" t="s" s="199">
        <v>175</v>
      </c>
      <c r="D7" t="s" s="200">
        <v>162</v>
      </c>
      <c r="E7" s="201">
        <v>995</v>
      </c>
      <c r="F7" t="s" s="200">
        <v>11</v>
      </c>
      <c r="G7" t="s" s="200">
        <v>232</v>
      </c>
      <c r="H7" s="93">
        <v>995</v>
      </c>
      <c r="I7" s="201">
        <v>0</v>
      </c>
      <c r="J7" t="s" s="14">
        <v>12</v>
      </c>
      <c r="K7" t="s" s="14">
        <v>12</v>
      </c>
      <c r="L7" t="s" s="14">
        <v>12</v>
      </c>
      <c r="M7" t="s" s="14">
        <v>14</v>
      </c>
      <c r="N7" t="s" s="14">
        <v>15</v>
      </c>
      <c r="O7" t="s" s="14">
        <v>13</v>
      </c>
    </row>
    <row r="8" ht="25.35" customHeight="1">
      <c r="B8" t="s" s="32">
        <v>109</v>
      </c>
      <c r="C8" t="s" s="26">
        <v>233</v>
      </c>
      <c r="D8" t="s" s="14">
        <v>162</v>
      </c>
      <c r="E8" s="92">
        <v>550</v>
      </c>
      <c r="F8" t="s" s="14">
        <v>6</v>
      </c>
      <c r="G8" s="19"/>
      <c r="H8" s="161">
        <v>0</v>
      </c>
      <c r="I8" s="161">
        <v>0</v>
      </c>
      <c r="J8" t="s" s="14">
        <v>13</v>
      </c>
      <c r="K8" t="s" s="14">
        <v>12</v>
      </c>
      <c r="L8" t="s" s="14">
        <v>13</v>
      </c>
      <c r="M8" t="s" s="14">
        <v>179</v>
      </c>
      <c r="N8" t="s" s="14">
        <v>179</v>
      </c>
      <c r="O8" t="s" s="14">
        <v>13</v>
      </c>
    </row>
    <row r="9" ht="25.35" customHeight="1">
      <c r="B9" t="s" s="11">
        <v>45</v>
      </c>
      <c r="C9" t="s" s="202">
        <v>181</v>
      </c>
      <c r="D9" t="s" s="203">
        <v>162</v>
      </c>
      <c r="E9" s="204">
        <v>995</v>
      </c>
      <c r="F9" t="s" s="203">
        <v>11</v>
      </c>
      <c r="G9" t="s" s="203">
        <v>234</v>
      </c>
      <c r="H9" s="93">
        <v>995</v>
      </c>
      <c r="I9" t="s" s="203">
        <v>235</v>
      </c>
      <c r="J9" t="s" s="14">
        <v>12</v>
      </c>
      <c r="K9" t="s" s="14">
        <v>12</v>
      </c>
      <c r="L9" t="s" s="14">
        <v>12</v>
      </c>
      <c r="M9" t="s" s="14">
        <v>14</v>
      </c>
      <c r="N9" t="s" s="14">
        <v>15</v>
      </c>
      <c r="O9" t="s" s="14">
        <v>13</v>
      </c>
    </row>
    <row r="10" ht="25.35" customHeight="1">
      <c r="B10" t="s" s="11">
        <v>154</v>
      </c>
      <c r="C10" t="s" s="205">
        <v>183</v>
      </c>
      <c r="D10" t="s" s="14">
        <v>162</v>
      </c>
      <c r="E10" s="92">
        <v>995</v>
      </c>
      <c r="F10" t="s" s="14">
        <v>11</v>
      </c>
      <c r="G10" t="s" s="14">
        <v>236</v>
      </c>
      <c r="H10" s="93">
        <v>995</v>
      </c>
      <c r="I10" s="163">
        <v>995</v>
      </c>
      <c r="J10" t="s" s="14">
        <v>12</v>
      </c>
      <c r="K10" t="s" s="14">
        <v>12</v>
      </c>
      <c r="L10" t="s" s="14">
        <v>12</v>
      </c>
      <c r="M10" t="s" s="14">
        <v>14</v>
      </c>
      <c r="N10" t="s" s="14">
        <v>15</v>
      </c>
      <c r="O10" t="s" s="14">
        <v>13</v>
      </c>
    </row>
    <row r="11" ht="25.35" customHeight="1">
      <c r="B11" t="s" s="11">
        <v>155</v>
      </c>
      <c r="C11" t="s" s="205">
        <v>182</v>
      </c>
      <c r="D11" t="s" s="162">
        <v>177</v>
      </c>
      <c r="E11" t="s" s="14">
        <v>25</v>
      </c>
      <c r="F11" t="s" s="14">
        <v>184</v>
      </c>
      <c r="G11" t="s" s="14">
        <v>185</v>
      </c>
      <c r="H11" s="93">
        <v>3500</v>
      </c>
      <c r="I11" s="161">
        <v>0</v>
      </c>
      <c r="J11" t="s" s="14">
        <v>12</v>
      </c>
      <c r="K11" t="s" s="14">
        <v>12</v>
      </c>
      <c r="L11" t="s" s="14">
        <v>12</v>
      </c>
      <c r="M11" t="s" s="14">
        <v>14</v>
      </c>
      <c r="N11" t="s" s="14">
        <v>15</v>
      </c>
      <c r="O11" t="s" s="14">
        <v>13</v>
      </c>
    </row>
    <row r="12" ht="25.35" customHeight="1">
      <c r="B12" t="s" s="11">
        <v>19</v>
      </c>
      <c r="C12" t="s" s="205">
        <v>237</v>
      </c>
      <c r="D12" t="s" s="14">
        <v>162</v>
      </c>
      <c r="E12" s="92">
        <v>995</v>
      </c>
      <c r="F12" t="s" s="14">
        <v>11</v>
      </c>
      <c r="G12" t="s" s="14">
        <v>238</v>
      </c>
      <c r="H12" s="161">
        <v>0</v>
      </c>
      <c r="I12" s="163">
        <v>995</v>
      </c>
      <c r="J12" t="s" s="14">
        <v>12</v>
      </c>
      <c r="K12" t="s" s="14">
        <v>12</v>
      </c>
      <c r="L12" t="s" s="14">
        <v>12</v>
      </c>
      <c r="M12" t="s" s="14">
        <v>14</v>
      </c>
      <c r="N12" t="s" s="14">
        <v>15</v>
      </c>
      <c r="O12" t="s" s="14">
        <v>13</v>
      </c>
    </row>
    <row r="13" ht="25.35" customHeight="1">
      <c r="B13" t="s" s="32">
        <v>239</v>
      </c>
      <c r="C13" t="s" s="205">
        <v>240</v>
      </c>
      <c r="D13" s="168">
        <v>500</v>
      </c>
      <c r="E13" s="92">
        <v>750</v>
      </c>
      <c r="F13" t="s" s="14">
        <v>6</v>
      </c>
      <c r="G13" t="s" s="14">
        <v>241</v>
      </c>
      <c r="H13" s="161">
        <v>0</v>
      </c>
      <c r="I13" s="93">
        <v>750</v>
      </c>
      <c r="J13" t="s" s="14">
        <v>13</v>
      </c>
      <c r="K13" t="s" s="14">
        <v>12</v>
      </c>
      <c r="L13" t="s" s="14">
        <v>13</v>
      </c>
      <c r="M13" t="s" s="14">
        <v>179</v>
      </c>
      <c r="N13" t="s" s="14">
        <v>179</v>
      </c>
      <c r="O13" t="s" s="14">
        <v>13</v>
      </c>
    </row>
    <row r="14" ht="25.35" customHeight="1">
      <c r="B14" t="s" s="32">
        <v>242</v>
      </c>
      <c r="C14" t="s" s="205">
        <v>240</v>
      </c>
      <c r="D14" s="168">
        <v>500</v>
      </c>
      <c r="E14" s="92">
        <v>2400</v>
      </c>
      <c r="F14" t="s" s="14">
        <v>243</v>
      </c>
      <c r="G14" t="s" s="14">
        <v>241</v>
      </c>
      <c r="H14" s="161">
        <v>0</v>
      </c>
      <c r="I14" s="93">
        <v>1200</v>
      </c>
      <c r="J14" t="s" s="14">
        <v>12</v>
      </c>
      <c r="K14" t="s" s="14">
        <v>12</v>
      </c>
      <c r="L14" t="s" s="14">
        <v>12</v>
      </c>
      <c r="M14" t="s" s="14">
        <v>14</v>
      </c>
      <c r="N14" t="s" s="14">
        <v>15</v>
      </c>
      <c r="O14" t="s" s="14">
        <v>13</v>
      </c>
    </row>
    <row r="15" ht="20.05" customHeight="1">
      <c r="B15" t="s" s="32">
        <v>244</v>
      </c>
      <c r="C15" t="s" s="205">
        <v>245</v>
      </c>
      <c r="D15" s="168">
        <v>500</v>
      </c>
      <c r="E15" s="92">
        <v>0</v>
      </c>
      <c r="F15" t="s" s="14">
        <v>243</v>
      </c>
      <c r="G15" t="s" s="14">
        <v>246</v>
      </c>
      <c r="H15" s="161">
        <v>0</v>
      </c>
      <c r="I15" s="93">
        <v>1200</v>
      </c>
      <c r="J15" s="19"/>
      <c r="K15" s="19"/>
      <c r="L15" s="19"/>
      <c r="M15" s="19"/>
      <c r="N15" s="14"/>
      <c r="O15" s="19"/>
    </row>
    <row r="16" ht="25.35" customHeight="1">
      <c r="B16" t="s" s="32">
        <v>47</v>
      </c>
      <c r="C16" t="s" s="205">
        <v>247</v>
      </c>
      <c r="D16" t="s" s="14">
        <v>162</v>
      </c>
      <c r="E16" s="92">
        <v>900</v>
      </c>
      <c r="F16" t="s" s="14">
        <v>243</v>
      </c>
      <c r="G16" t="s" s="14">
        <v>248</v>
      </c>
      <c r="H16" s="161">
        <v>0</v>
      </c>
      <c r="I16" s="93">
        <v>900</v>
      </c>
      <c r="J16" t="s" s="14">
        <v>12</v>
      </c>
      <c r="K16" t="s" s="14">
        <v>12</v>
      </c>
      <c r="L16" t="s" s="14">
        <v>12</v>
      </c>
      <c r="M16" t="s" s="14">
        <v>14</v>
      </c>
      <c r="N16" t="s" s="14">
        <v>14</v>
      </c>
      <c r="O16" t="s" s="14">
        <v>249</v>
      </c>
    </row>
    <row r="17" ht="25.35" customHeight="1">
      <c r="B17" t="s" s="32">
        <v>250</v>
      </c>
      <c r="C17" t="s" s="205">
        <v>251</v>
      </c>
      <c r="D17" s="168">
        <v>300</v>
      </c>
      <c r="E17" s="92">
        <v>1200</v>
      </c>
      <c r="F17" t="s" s="14">
        <v>252</v>
      </c>
      <c r="G17" t="s" s="14">
        <v>253</v>
      </c>
      <c r="H17" s="161">
        <v>0</v>
      </c>
      <c r="I17" s="163">
        <v>1200</v>
      </c>
      <c r="J17" t="s" s="14">
        <v>13</v>
      </c>
      <c r="K17" t="s" s="14">
        <v>12</v>
      </c>
      <c r="L17" t="s" s="14">
        <v>13</v>
      </c>
      <c r="M17" t="s" s="14">
        <v>179</v>
      </c>
      <c r="N17" t="s" s="14">
        <v>179</v>
      </c>
      <c r="O17" t="s" s="14">
        <v>13</v>
      </c>
    </row>
    <row r="18" ht="20.05" customHeight="1">
      <c r="B18" s="206"/>
      <c r="C18" s="55"/>
      <c r="D18" s="92"/>
      <c r="E18" s="92">
        <v>0</v>
      </c>
      <c r="F18" t="s" s="14">
        <v>243</v>
      </c>
      <c r="G18" s="19"/>
      <c r="H18" s="161">
        <v>0</v>
      </c>
      <c r="I18" s="161">
        <v>0</v>
      </c>
      <c r="J18" s="19"/>
      <c r="K18" s="19"/>
      <c r="L18" s="19"/>
      <c r="M18" s="19"/>
      <c r="N18" s="14"/>
      <c r="O18" s="19"/>
    </row>
    <row r="19" ht="25.35" customHeight="1">
      <c r="B19" t="s" s="32">
        <v>254</v>
      </c>
      <c r="C19" t="s" s="205">
        <v>245</v>
      </c>
      <c r="D19" s="168">
        <v>250</v>
      </c>
      <c r="E19" s="92">
        <v>600</v>
      </c>
      <c r="F19" t="s" s="14">
        <v>255</v>
      </c>
      <c r="G19" t="s" s="14">
        <v>256</v>
      </c>
      <c r="H19" s="161">
        <v>0</v>
      </c>
      <c r="I19" s="163">
        <v>600</v>
      </c>
      <c r="J19" t="s" s="14">
        <v>12</v>
      </c>
      <c r="K19" t="s" s="14">
        <v>12</v>
      </c>
      <c r="L19" t="s" s="14">
        <v>12</v>
      </c>
      <c r="M19" t="s" s="14">
        <v>14</v>
      </c>
      <c r="N19" t="s" s="14">
        <v>14</v>
      </c>
      <c r="O19" t="s" s="14">
        <v>249</v>
      </c>
    </row>
    <row r="20" ht="25.35" customHeight="1">
      <c r="B20" t="s" s="32">
        <v>257</v>
      </c>
      <c r="C20" t="s" s="205">
        <v>258</v>
      </c>
      <c r="D20" s="168">
        <v>500</v>
      </c>
      <c r="E20" s="92">
        <v>1200</v>
      </c>
      <c r="F20" t="s" s="14">
        <v>243</v>
      </c>
      <c r="G20" t="s" s="14">
        <v>246</v>
      </c>
      <c r="H20" s="161"/>
      <c r="I20" s="163">
        <v>1200</v>
      </c>
      <c r="J20" t="s" s="14">
        <v>12</v>
      </c>
      <c r="K20" t="s" s="14">
        <v>12</v>
      </c>
      <c r="L20" t="s" s="14">
        <v>12</v>
      </c>
      <c r="M20" t="s" s="14">
        <v>14</v>
      </c>
      <c r="N20" t="s" s="14">
        <v>14</v>
      </c>
      <c r="O20" t="s" s="14">
        <v>249</v>
      </c>
    </row>
    <row r="21" ht="25.35" customHeight="1">
      <c r="B21" t="s" s="32">
        <v>259</v>
      </c>
      <c r="C21" t="s" s="205">
        <v>260</v>
      </c>
      <c r="D21" s="168">
        <v>0</v>
      </c>
      <c r="E21" s="92">
        <v>250</v>
      </c>
      <c r="F21" t="s" s="14">
        <v>188</v>
      </c>
      <c r="G21" t="s" s="14">
        <v>261</v>
      </c>
      <c r="H21" s="161"/>
      <c r="I21" s="163">
        <v>250</v>
      </c>
      <c r="J21" t="s" s="14">
        <v>12</v>
      </c>
      <c r="K21" t="s" s="14">
        <v>12</v>
      </c>
      <c r="L21" t="s" s="14">
        <v>12</v>
      </c>
      <c r="M21" t="s" s="14">
        <v>14</v>
      </c>
      <c r="N21" t="s" s="14">
        <v>14</v>
      </c>
      <c r="O21" t="s" s="14">
        <v>249</v>
      </c>
    </row>
    <row r="22" ht="25.35" customHeight="1">
      <c r="B22" t="s" s="32">
        <v>262</v>
      </c>
      <c r="C22" t="s" s="205">
        <v>263</v>
      </c>
      <c r="D22" s="168">
        <v>750</v>
      </c>
      <c r="E22" s="92">
        <v>1200</v>
      </c>
      <c r="F22" t="s" s="14">
        <v>243</v>
      </c>
      <c r="G22" t="s" s="14">
        <v>264</v>
      </c>
      <c r="H22" s="161"/>
      <c r="I22" s="163">
        <v>1200</v>
      </c>
      <c r="J22" t="s" s="14">
        <v>12</v>
      </c>
      <c r="K22" t="s" s="14">
        <v>12</v>
      </c>
      <c r="L22" t="s" s="14">
        <v>12</v>
      </c>
      <c r="M22" t="s" s="14">
        <v>14</v>
      </c>
      <c r="N22" t="s" s="14">
        <v>14</v>
      </c>
      <c r="O22" t="s" s="14">
        <v>249</v>
      </c>
    </row>
    <row r="23" ht="25.35" customHeight="1">
      <c r="B23" t="s" s="32">
        <v>265</v>
      </c>
      <c r="C23" t="s" s="205">
        <v>266</v>
      </c>
      <c r="D23" s="168">
        <v>500</v>
      </c>
      <c r="E23" s="92">
        <v>995</v>
      </c>
      <c r="F23" t="s" s="14">
        <v>11</v>
      </c>
      <c r="G23" t="s" s="14">
        <v>267</v>
      </c>
      <c r="H23" s="161"/>
      <c r="I23" s="163">
        <v>995</v>
      </c>
      <c r="J23" t="s" s="14">
        <v>12</v>
      </c>
      <c r="K23" t="s" s="14">
        <v>12</v>
      </c>
      <c r="L23" t="s" s="14">
        <v>12</v>
      </c>
      <c r="M23" t="s" s="14">
        <v>14</v>
      </c>
      <c r="N23" t="s" s="14">
        <v>14</v>
      </c>
      <c r="O23" t="s" s="14">
        <v>249</v>
      </c>
    </row>
    <row r="24" ht="20.05" customHeight="1">
      <c r="B24" t="s" s="32">
        <v>268</v>
      </c>
      <c r="C24" t="s" s="205">
        <v>181</v>
      </c>
      <c r="D24" s="168">
        <v>750</v>
      </c>
      <c r="E24" s="92">
        <v>1200</v>
      </c>
      <c r="F24" t="s" s="14">
        <v>269</v>
      </c>
      <c r="G24" t="s" s="14">
        <v>234</v>
      </c>
      <c r="H24" s="161"/>
      <c r="I24" s="163">
        <v>1200</v>
      </c>
      <c r="J24" s="19"/>
      <c r="K24" s="19"/>
      <c r="L24" s="19"/>
      <c r="M24" s="19"/>
      <c r="N24" s="19"/>
      <c r="O24" s="19"/>
    </row>
    <row r="25" ht="20.05" customHeight="1">
      <c r="B25" t="s" s="32">
        <v>270</v>
      </c>
      <c r="C25" t="s" s="205">
        <v>183</v>
      </c>
      <c r="D25" s="168">
        <v>500</v>
      </c>
      <c r="E25" s="92">
        <v>1200</v>
      </c>
      <c r="F25" t="s" s="14">
        <v>243</v>
      </c>
      <c r="G25" t="s" s="14">
        <v>271</v>
      </c>
      <c r="H25" s="161"/>
      <c r="I25" s="163">
        <v>1200</v>
      </c>
      <c r="J25" s="19"/>
      <c r="K25" s="19"/>
      <c r="L25" s="19"/>
      <c r="M25" s="19"/>
      <c r="N25" s="19"/>
      <c r="O25" s="19"/>
    </row>
    <row r="26" ht="20.05" customHeight="1">
      <c r="B26" t="s" s="32">
        <v>272</v>
      </c>
      <c r="C26" t="s" s="205">
        <v>183</v>
      </c>
      <c r="D26" s="168">
        <v>500</v>
      </c>
      <c r="E26" s="92">
        <v>1200</v>
      </c>
      <c r="F26" t="s" s="14">
        <v>243</v>
      </c>
      <c r="G26" t="s" s="14">
        <v>271</v>
      </c>
      <c r="H26" s="161"/>
      <c r="I26" s="163">
        <v>1200</v>
      </c>
      <c r="J26" s="19"/>
      <c r="K26" s="19"/>
      <c r="L26" s="19"/>
      <c r="M26" s="19"/>
      <c r="N26" s="19"/>
      <c r="O26" s="19"/>
    </row>
    <row r="27" ht="20.05" customHeight="1">
      <c r="B27" t="s" s="11">
        <v>30</v>
      </c>
      <c r="C27" s="20"/>
      <c r="D27" s="92"/>
      <c r="E27" s="92" cm="1">
        <f t="array" ref="E27">SUM(E4:E26)</f>
        <v>18570</v>
      </c>
      <c r="F27" s="19"/>
      <c r="G27" s="19"/>
      <c r="H27" s="163" cm="1">
        <f t="array" ref="H27">H4+H5+H6+H7+H8+H9+H10+H11+H12+H13+H14</f>
        <v>11930</v>
      </c>
      <c r="I27" s="163" cm="1">
        <f t="array" ref="I27">SUM($I$4:$I$26)</f>
        <v>15085</v>
      </c>
      <c r="J27" s="13"/>
      <c r="K27" s="13"/>
      <c r="L27" s="13"/>
      <c r="M27" s="13"/>
      <c r="N27" s="14"/>
      <c r="O27" s="14"/>
    </row>
    <row r="28" ht="20.05" customHeight="1">
      <c r="B28" t="s" s="11">
        <v>186</v>
      </c>
      <c r="C28" s="20"/>
      <c r="D28" s="92"/>
      <c r="E28" s="92"/>
      <c r="F28" s="19"/>
      <c r="G28" s="19"/>
      <c r="H28" s="166"/>
      <c r="I28" s="166"/>
      <c r="J28" s="13"/>
      <c r="K28" s="13"/>
      <c r="L28" s="13"/>
      <c r="M28" s="13"/>
      <c r="N28" s="14"/>
      <c r="O28" s="14"/>
    </row>
    <row r="29" ht="20.05" customHeight="1">
      <c r="B29" s="206"/>
      <c r="C29" s="18"/>
      <c r="D29" s="92">
        <v>0</v>
      </c>
      <c r="E29" s="92">
        <v>0</v>
      </c>
      <c r="F29" t="s" s="14">
        <v>11</v>
      </c>
      <c r="G29" s="19"/>
      <c r="H29" s="207"/>
      <c r="I29" s="207"/>
      <c r="J29" s="19"/>
      <c r="K29" s="19"/>
      <c r="L29" s="19"/>
      <c r="M29" s="13"/>
      <c r="N29" s="14"/>
      <c r="O29" s="14"/>
    </row>
    <row r="30" ht="20.05" customHeight="1">
      <c r="B30" t="s" s="11">
        <v>110</v>
      </c>
      <c r="C30" s="20"/>
      <c r="D30" s="98" cm="1">
        <f t="array" ref="D30">SUM(D4:D29)</f>
        <v>5550</v>
      </c>
      <c r="E30" s="92"/>
      <c r="F30" s="19"/>
      <c r="G30" s="19"/>
      <c r="H30" s="208">
        <v>22062.76</v>
      </c>
      <c r="I30" s="208" cm="1">
        <f t="array" ref="I30">D30+I27+I36+I51</f>
        <v>28167.74</v>
      </c>
      <c r="J30" s="13"/>
      <c r="K30" s="13"/>
      <c r="L30" s="13"/>
      <c r="M30" s="13"/>
      <c r="N30" s="14"/>
      <c r="O30" s="14"/>
    </row>
    <row r="31" ht="20.05" customHeight="1">
      <c r="B31" t="s" s="11">
        <v>111</v>
      </c>
      <c r="C31" s="20"/>
      <c r="D31" s="92"/>
      <c r="E31" s="208" cm="1">
        <f t="array" ref="E31">'ENERO 2026'!O65+I30</f>
        <v>105401.94</v>
      </c>
      <c r="F31" s="19"/>
      <c r="G31" s="19"/>
      <c r="H31" s="169"/>
      <c r="I31" s="169"/>
      <c r="J31" s="13"/>
      <c r="K31" s="13"/>
      <c r="L31" s="13"/>
      <c r="M31" s="13"/>
      <c r="N31" s="14"/>
      <c r="O31" s="14"/>
    </row>
    <row r="32" ht="32.05" customHeight="1">
      <c r="B32" t="s" s="11">
        <v>23</v>
      </c>
      <c r="C32" t="s" s="26">
        <v>36</v>
      </c>
      <c r="D32" s="27"/>
      <c r="E32" s="27"/>
      <c r="F32" s="27"/>
      <c r="G32" s="27"/>
      <c r="H32" s="48"/>
      <c r="I32" s="48"/>
      <c r="J32" s="19"/>
      <c r="K32" s="19"/>
      <c r="L32" s="19"/>
      <c r="M32" s="19"/>
      <c r="N32" s="14"/>
      <c r="O32" s="14"/>
    </row>
    <row r="33" ht="20.05" customHeight="1">
      <c r="B33" t="s" s="95">
        <v>35</v>
      </c>
      <c r="C33" s="99"/>
      <c r="D33" t="s" s="100">
        <v>38</v>
      </c>
      <c r="E33" s="96">
        <v>171.82</v>
      </c>
      <c r="F33" s="96"/>
      <c r="G33" s="96"/>
      <c r="H33" s="209">
        <v>515.46</v>
      </c>
      <c r="I33" s="209" cm="1">
        <f t="array" ref="I33">E33*T55</f>
        <v>171.82</v>
      </c>
      <c r="J33" s="19"/>
      <c r="K33" s="19"/>
      <c r="L33" s="19"/>
      <c r="M33" s="19"/>
      <c r="N33" t="s" s="14">
        <v>23</v>
      </c>
      <c r="O33" s="14"/>
    </row>
    <row r="34" ht="20.05" customHeight="1">
      <c r="B34" t="s" s="95">
        <v>10</v>
      </c>
      <c r="C34" s="99"/>
      <c r="D34" t="s" s="100">
        <v>38</v>
      </c>
      <c r="E34" s="96">
        <v>171.82</v>
      </c>
      <c r="F34" s="96"/>
      <c r="G34" s="96"/>
      <c r="H34" s="209">
        <v>1890.02</v>
      </c>
      <c r="I34" s="209">
        <v>1890</v>
      </c>
      <c r="J34" s="19"/>
      <c r="K34" s="19"/>
      <c r="L34" s="19"/>
      <c r="M34" t="s" s="14">
        <v>14</v>
      </c>
      <c r="N34" t="s" s="14">
        <v>23</v>
      </c>
      <c r="O34" s="14"/>
    </row>
    <row r="35" ht="20.05" customHeight="1">
      <c r="B35" t="s" s="95">
        <v>37</v>
      </c>
      <c r="C35" s="99"/>
      <c r="D35" t="s" s="100">
        <v>38</v>
      </c>
      <c r="E35" s="96">
        <v>171.82</v>
      </c>
      <c r="F35" s="96"/>
      <c r="G35" s="96"/>
      <c r="H35" s="209">
        <v>1890.02</v>
      </c>
      <c r="I35" s="209" cm="1">
        <f t="array" ref="I35">E35*T69</f>
        <v>1030.92</v>
      </c>
      <c r="J35" s="19"/>
      <c r="K35" s="19"/>
      <c r="L35" s="19"/>
      <c r="M35" s="19"/>
      <c r="N35" t="s" s="14">
        <v>23</v>
      </c>
      <c r="O35" s="14"/>
    </row>
    <row r="36" ht="20.05" customHeight="1">
      <c r="B36" t="s" s="95">
        <v>114</v>
      </c>
      <c r="C36" s="106"/>
      <c r="D36" s="27"/>
      <c r="E36" s="27"/>
      <c r="F36" s="27"/>
      <c r="G36" s="170"/>
      <c r="H36" s="98">
        <v>4295.5</v>
      </c>
      <c r="I36" s="168" cm="1">
        <f t="array" ref="I36">I33+I34+I35</f>
        <v>3092.74</v>
      </c>
      <c r="J36" s="19"/>
      <c r="K36" s="19"/>
      <c r="L36" s="19"/>
      <c r="M36" s="19"/>
      <c r="N36" t="s" s="14">
        <v>23</v>
      </c>
      <c r="O36" s="14"/>
    </row>
    <row r="37" ht="20.05" customHeight="1">
      <c r="B37" t="s" s="11">
        <v>33</v>
      </c>
      <c r="C37" t="s" s="26">
        <v>273</v>
      </c>
      <c r="D37" s="27"/>
      <c r="E37" s="27"/>
      <c r="F37" s="27"/>
      <c r="G37" s="27"/>
      <c r="H37" s="27"/>
      <c r="I37" s="27"/>
      <c r="J37" s="13"/>
      <c r="K37" s="13"/>
      <c r="L37" s="13"/>
      <c r="M37" t="s" s="14">
        <v>14</v>
      </c>
      <c r="N37" t="s" s="14">
        <v>34</v>
      </c>
      <c r="O37" s="14"/>
    </row>
    <row r="38" ht="20.05" customHeight="1">
      <c r="B38" t="s" s="11">
        <v>32</v>
      </c>
      <c r="C38" t="s" s="171">
        <v>163</v>
      </c>
      <c r="D38" t="s" s="14">
        <v>162</v>
      </c>
      <c r="E38" s="92">
        <v>50</v>
      </c>
      <c r="F38" t="s" s="14">
        <v>188</v>
      </c>
      <c r="G38" t="s" s="14">
        <v>189</v>
      </c>
      <c r="H38" s="98">
        <v>500</v>
      </c>
      <c r="I38" s="161">
        <v>0</v>
      </c>
      <c r="J38" s="19"/>
      <c r="K38" s="19"/>
      <c r="L38" s="19"/>
      <c r="M38" t="s" s="14">
        <v>15</v>
      </c>
      <c r="N38" t="s" s="14">
        <v>34</v>
      </c>
      <c r="O38" s="14"/>
    </row>
    <row r="39" ht="20.05" customHeight="1">
      <c r="B39" t="s" s="172">
        <v>46</v>
      </c>
      <c r="C39" s="173"/>
      <c r="D39" t="s" s="14">
        <v>162</v>
      </c>
      <c r="E39" s="166">
        <v>75</v>
      </c>
      <c r="F39" t="s" s="59">
        <v>33</v>
      </c>
      <c r="G39" s="48"/>
      <c r="H39" s="98">
        <v>675</v>
      </c>
      <c r="I39" s="168" cm="1">
        <f t="array" ref="I39">E39*T86</f>
        <v>1200</v>
      </c>
      <c r="J39" s="48"/>
      <c r="K39" s="48"/>
      <c r="L39" s="48"/>
      <c r="M39" t="s" s="59">
        <v>15</v>
      </c>
      <c r="N39" t="s" s="59">
        <v>34</v>
      </c>
      <c r="O39" s="59"/>
    </row>
    <row r="40" ht="20.05" customHeight="1">
      <c r="B40" t="s" s="11">
        <v>45</v>
      </c>
      <c r="C40" t="s" s="174">
        <v>183</v>
      </c>
      <c r="D40" t="s" s="14">
        <v>162</v>
      </c>
      <c r="E40" s="166">
        <v>75</v>
      </c>
      <c r="F40" t="s" s="59">
        <v>33</v>
      </c>
      <c r="G40" s="48"/>
      <c r="H40" s="161">
        <v>0</v>
      </c>
      <c r="I40" s="168" cm="1">
        <f t="array" ref="I40">E40*U62</f>
        <v>150</v>
      </c>
      <c r="J40" s="48"/>
      <c r="K40" s="48"/>
      <c r="L40" s="48"/>
      <c r="M40" s="48"/>
      <c r="N40" s="59"/>
      <c r="O40" s="59"/>
    </row>
    <row r="41" ht="20.05" customHeight="1">
      <c r="B41" t="s" s="172">
        <v>191</v>
      </c>
      <c r="C41" t="s" s="174">
        <v>192</v>
      </c>
      <c r="D41" t="s" s="14">
        <v>162</v>
      </c>
      <c r="E41" s="92">
        <v>75</v>
      </c>
      <c r="F41" t="s" s="59">
        <v>33</v>
      </c>
      <c r="G41" s="48"/>
      <c r="H41" s="98">
        <v>450</v>
      </c>
      <c r="I41" s="168" cm="1">
        <f t="array" ref="I41">E41*T87</f>
        <v>825</v>
      </c>
      <c r="J41" s="48"/>
      <c r="K41" s="48"/>
      <c r="L41" s="48"/>
      <c r="M41" s="48"/>
      <c r="N41" s="59"/>
      <c r="O41" s="59"/>
    </row>
    <row r="42" ht="20.05" customHeight="1">
      <c r="B42" t="s" s="32">
        <v>47</v>
      </c>
      <c r="C42" t="s" s="171">
        <v>193</v>
      </c>
      <c r="D42" t="s" s="14">
        <v>162</v>
      </c>
      <c r="E42" s="92">
        <v>75</v>
      </c>
      <c r="F42" t="s" s="59">
        <v>33</v>
      </c>
      <c r="G42" s="19"/>
      <c r="H42" s="161">
        <v>0</v>
      </c>
      <c r="I42" s="168">
        <v>150</v>
      </c>
      <c r="J42" s="48"/>
      <c r="K42" s="48"/>
      <c r="L42" s="48"/>
      <c r="M42" t="s" s="59">
        <v>15</v>
      </c>
      <c r="N42" t="s" s="59">
        <v>34</v>
      </c>
      <c r="O42" s="59"/>
    </row>
    <row r="43" ht="20.05" customHeight="1">
      <c r="B43" t="s" s="32">
        <v>274</v>
      </c>
      <c r="C43" t="s" s="171">
        <v>181</v>
      </c>
      <c r="D43" t="s" s="14">
        <v>162</v>
      </c>
      <c r="E43" s="92">
        <v>75</v>
      </c>
      <c r="F43" t="s" s="59">
        <v>33</v>
      </c>
      <c r="G43" s="19"/>
      <c r="H43" s="161">
        <v>0</v>
      </c>
      <c r="I43" s="168" cm="1">
        <f t="array" ref="I43">T78*E43</f>
        <v>150</v>
      </c>
      <c r="J43" s="48"/>
      <c r="K43" s="48"/>
      <c r="L43" s="48"/>
      <c r="M43" s="48"/>
      <c r="N43" s="59"/>
      <c r="O43" s="59"/>
    </row>
    <row r="44" ht="20.05" customHeight="1">
      <c r="B44" t="s" s="32">
        <v>48</v>
      </c>
      <c r="C44" t="s" s="171">
        <v>194</v>
      </c>
      <c r="D44" t="s" s="14">
        <v>162</v>
      </c>
      <c r="E44" s="92">
        <v>75</v>
      </c>
      <c r="F44" t="s" s="59">
        <v>33</v>
      </c>
      <c r="G44" s="19"/>
      <c r="H44" s="98">
        <v>375</v>
      </c>
      <c r="I44" s="168" cm="1">
        <f t="array" ref="I44">E44*T79</f>
        <v>375</v>
      </c>
      <c r="J44" s="19"/>
      <c r="K44" s="19"/>
      <c r="L44" s="19"/>
      <c r="M44" s="19"/>
      <c r="N44" s="14"/>
      <c r="O44" s="14"/>
    </row>
    <row r="45" ht="20.05" customHeight="1">
      <c r="B45" t="s" s="32">
        <v>49</v>
      </c>
      <c r="C45" t="s" s="171">
        <v>194</v>
      </c>
      <c r="D45" t="s" s="14">
        <v>162</v>
      </c>
      <c r="E45" s="92">
        <v>75</v>
      </c>
      <c r="F45" t="s" s="59">
        <v>33</v>
      </c>
      <c r="G45" s="19"/>
      <c r="H45" s="98">
        <v>300</v>
      </c>
      <c r="I45" s="168" cm="1">
        <f t="array" ref="I45">E45*T80</f>
        <v>375</v>
      </c>
      <c r="J45" s="19"/>
      <c r="K45" s="19"/>
      <c r="L45" s="19"/>
      <c r="M45" t="s" s="14">
        <v>15</v>
      </c>
      <c r="N45" t="s" s="14">
        <v>34</v>
      </c>
      <c r="O45" s="14"/>
    </row>
    <row r="46" ht="20.05" customHeight="1">
      <c r="B46" t="s" s="32">
        <v>50</v>
      </c>
      <c r="C46" t="s" s="171">
        <v>195</v>
      </c>
      <c r="D46" t="s" s="14">
        <v>162</v>
      </c>
      <c r="E46" s="92">
        <v>90</v>
      </c>
      <c r="F46" t="s" s="59">
        <v>33</v>
      </c>
      <c r="G46" s="92" cm="1">
        <f t="array" ref="G46">E46*DQ502</f>
        <v>270</v>
      </c>
      <c r="H46" s="161">
        <v>0</v>
      </c>
      <c r="I46" s="168">
        <v>75</v>
      </c>
      <c r="J46" s="19"/>
      <c r="K46" s="19"/>
      <c r="L46" s="19"/>
      <c r="M46" t="s" s="14">
        <v>15</v>
      </c>
      <c r="N46" t="s" s="14">
        <v>34</v>
      </c>
      <c r="O46" s="14"/>
    </row>
    <row r="47" ht="20.05" customHeight="1">
      <c r="B47" t="s" s="32">
        <v>51</v>
      </c>
      <c r="C47" t="s" s="171">
        <v>195</v>
      </c>
      <c r="D47" t="s" s="14">
        <v>162</v>
      </c>
      <c r="E47" s="92">
        <v>90</v>
      </c>
      <c r="F47" t="s" s="59">
        <v>33</v>
      </c>
      <c r="G47" s="19"/>
      <c r="H47" s="161">
        <v>0</v>
      </c>
      <c r="I47" s="168" cm="1">
        <f t="array" ref="I47">E47*T82</f>
        <v>0</v>
      </c>
      <c r="J47" s="19"/>
      <c r="K47" s="19"/>
      <c r="L47" s="19"/>
      <c r="M47" t="s" s="14">
        <v>15</v>
      </c>
      <c r="N47" t="s" s="14">
        <v>34</v>
      </c>
      <c r="O47" s="14"/>
    </row>
    <row r="48" ht="20.05" customHeight="1">
      <c r="B48" t="s" s="32">
        <v>52</v>
      </c>
      <c r="C48" t="s" s="171">
        <v>195</v>
      </c>
      <c r="D48" t="s" s="14">
        <v>162</v>
      </c>
      <c r="E48" s="92">
        <v>90</v>
      </c>
      <c r="F48" t="s" s="59">
        <v>33</v>
      </c>
      <c r="G48" s="19"/>
      <c r="H48" s="161">
        <v>0</v>
      </c>
      <c r="I48" s="168" cm="1">
        <f t="array" ref="I48">E48*T83</f>
        <v>270</v>
      </c>
      <c r="J48" s="19"/>
      <c r="K48" s="19"/>
      <c r="L48" s="19"/>
      <c r="M48" t="s" s="14">
        <v>15</v>
      </c>
      <c r="N48" t="s" s="14">
        <v>34</v>
      </c>
      <c r="O48" s="14"/>
    </row>
    <row r="49" ht="20.05" customHeight="1">
      <c r="B49" t="s" s="32">
        <v>115</v>
      </c>
      <c r="C49" t="s" s="171">
        <v>195</v>
      </c>
      <c r="D49" t="s" s="14">
        <v>196</v>
      </c>
      <c r="E49" s="92">
        <v>75</v>
      </c>
      <c r="F49" t="s" s="59">
        <v>33</v>
      </c>
      <c r="G49" s="19"/>
      <c r="H49" s="98">
        <v>300</v>
      </c>
      <c r="I49" s="168" cm="1">
        <f t="array" ref="I49">E49*T84</f>
        <v>450</v>
      </c>
      <c r="J49" s="19"/>
      <c r="K49" s="19"/>
      <c r="L49" s="19"/>
      <c r="M49" t="s" s="14">
        <v>15</v>
      </c>
      <c r="N49" t="s" s="14">
        <v>34</v>
      </c>
      <c r="O49" s="14"/>
    </row>
    <row r="50" ht="20.05" customHeight="1">
      <c r="B50" t="s" s="32">
        <v>197</v>
      </c>
      <c r="C50" t="s" s="171">
        <v>198</v>
      </c>
      <c r="D50" t="s" s="14">
        <v>162</v>
      </c>
      <c r="E50" s="92">
        <v>75</v>
      </c>
      <c r="F50" t="s" s="59">
        <v>33</v>
      </c>
      <c r="G50" s="19"/>
      <c r="H50" s="161">
        <v>0</v>
      </c>
      <c r="I50" s="168" cm="1">
        <f t="array" ref="I50">E50*T85</f>
        <v>150</v>
      </c>
      <c r="J50" s="19"/>
      <c r="K50" s="19"/>
      <c r="L50" s="19"/>
      <c r="M50" s="19"/>
      <c r="N50" s="14"/>
      <c r="O50" s="14"/>
    </row>
    <row r="51" ht="20.05" customHeight="1">
      <c r="B51" t="s" s="32">
        <v>116</v>
      </c>
      <c r="C51" s="112"/>
      <c r="D51" s="27"/>
      <c r="E51" s="27"/>
      <c r="F51" s="27"/>
      <c r="G51" s="210" cm="1">
        <f t="array" ref="G51">G46+I48</f>
        <v>540</v>
      </c>
      <c r="H51" s="98">
        <v>2475</v>
      </c>
      <c r="I51" s="98" cm="1">
        <f t="array" ref="I51">SUM(I38:I50)+G46</f>
        <v>4440</v>
      </c>
      <c r="J51" s="19"/>
      <c r="K51" s="19"/>
      <c r="L51" s="19"/>
      <c r="M51" s="19"/>
      <c r="N51" s="14"/>
      <c r="O51" s="14"/>
    </row>
    <row r="53" ht="28.25" customHeight="1">
      <c r="P53" t="s" s="3">
        <v>275</v>
      </c>
      <c r="Q53" t="s" s="3">
        <v>276</v>
      </c>
      <c r="R53" t="s" s="3">
        <v>25</v>
      </c>
      <c r="S53" t="s" s="3">
        <v>151</v>
      </c>
      <c r="T53" t="s" s="3">
        <v>230</v>
      </c>
      <c r="U53" t="s" s="3">
        <v>160</v>
      </c>
      <c r="V53" t="s" s="3">
        <v>277</v>
      </c>
      <c r="W53" t="s" s="3">
        <v>278</v>
      </c>
    </row>
    <row r="54" ht="28" customHeight="1">
      <c r="P54" s="212">
        <v>1</v>
      </c>
      <c r="Q54" t="s" s="213">
        <v>279</v>
      </c>
      <c r="R54" t="s" s="6">
        <v>27</v>
      </c>
      <c r="S54" t="s" s="214">
        <v>25</v>
      </c>
      <c r="T54" s="47" cm="1">
        <f t="array" ref="T54">AO143+BI229+CC315+CW401</f>
        <v>5</v>
      </c>
      <c r="U54" s="47" cm="1">
        <f t="array" ref="U54">AQ143+BK229+CE315+CY401</f>
        <v>0</v>
      </c>
      <c r="V54" s="89" cm="1">
        <f t="array" ref="V54">E7/T54</f>
        <v>199</v>
      </c>
      <c r="W54" s="215" cm="1">
        <f t="array" ref="W54">V54/995</f>
        <v>0.2</v>
      </c>
    </row>
    <row r="55" ht="28" customHeight="1">
      <c r="P55" s="216">
        <v>2</v>
      </c>
      <c r="Q55" t="s" s="217">
        <v>280</v>
      </c>
      <c r="R55" t="s" s="95">
        <v>35</v>
      </c>
      <c r="S55" t="s" s="218">
        <v>25</v>
      </c>
      <c r="T55" s="24" cm="1">
        <f t="array" ref="T55">AO151+BI237+CC323+CW409</f>
        <v>1</v>
      </c>
      <c r="U55" s="24" cm="1">
        <f t="array" ref="U55">AQ151+BK237+CE323+CY409</f>
        <v>0</v>
      </c>
      <c r="V55" s="92"/>
      <c r="W55" s="219"/>
    </row>
    <row r="56" ht="27.4" customHeight="1">
      <c r="P56" s="220">
        <v>3</v>
      </c>
      <c r="Q56" t="s" s="221">
        <v>281</v>
      </c>
      <c r="R56" t="s" s="32">
        <v>47</v>
      </c>
      <c r="S56" t="s" s="218">
        <v>25</v>
      </c>
      <c r="T56" s="24" cm="1">
        <f t="array" ref="T56">AO155+BI242+CC327+CW414</f>
        <v>15</v>
      </c>
      <c r="U56" s="24" cm="1">
        <f t="array" ref="U56">AQ155+BK242+CE327+CY414</f>
        <v>0</v>
      </c>
      <c r="V56" s="92" cm="1">
        <f t="array" ref="V56">450/T56</f>
        <v>30</v>
      </c>
      <c r="W56" s="219"/>
    </row>
    <row r="57" ht="28" customHeight="1">
      <c r="P57" s="216">
        <v>4</v>
      </c>
      <c r="Q57" t="s" s="217">
        <v>282</v>
      </c>
      <c r="R57" t="s" s="95">
        <v>10</v>
      </c>
      <c r="S57" t="s" s="218">
        <v>25</v>
      </c>
      <c r="T57" s="24" cm="1">
        <f t="array" ref="T57">AO152+BI238+CC324+CW410</f>
        <v>17</v>
      </c>
      <c r="U57" s="24" cm="1">
        <f t="array" ref="U57">AQ152+BK238+CE324+CY410</f>
        <v>0</v>
      </c>
      <c r="V57" s="92" cm="1">
        <f t="array" ref="V57">I34/T57</f>
        <v>111.176470588235</v>
      </c>
      <c r="W57" s="219"/>
    </row>
    <row r="58" ht="28" customHeight="1">
      <c r="P58" s="222">
        <v>5</v>
      </c>
      <c r="Q58" t="s" s="223">
        <v>283</v>
      </c>
      <c r="R58" t="s" s="11">
        <v>32</v>
      </c>
      <c r="S58" t="s" s="218">
        <v>25</v>
      </c>
      <c r="T58" s="24" cm="1">
        <f t="array" ref="T58">AO154+BI240+CC326+CW412</f>
        <v>7</v>
      </c>
      <c r="U58" s="24" cm="1">
        <f t="array" ref="U58">AQ154+BK240+CE326+CY412</f>
        <v>0</v>
      </c>
      <c r="V58" s="92"/>
      <c r="W58" s="219"/>
    </row>
    <row r="59" ht="28.3" customHeight="1">
      <c r="P59" s="222">
        <v>6</v>
      </c>
      <c r="Q59" t="s" s="223">
        <v>284</v>
      </c>
      <c r="R59" t="s" s="11">
        <v>16</v>
      </c>
      <c r="S59" t="s" s="218">
        <v>25</v>
      </c>
      <c r="T59" s="24" cm="1">
        <f t="array" ref="T59">AO140+BI226+CC312+CW398</f>
        <v>17</v>
      </c>
      <c r="U59" s="24" cm="1">
        <f t="array" ref="U59">AQ140+BK226+CE312+CY398</f>
        <v>0</v>
      </c>
      <c r="V59" s="92" cm="1">
        <f t="array" ref="V59">750/T59</f>
        <v>44.1176470588235</v>
      </c>
      <c r="W59" s="219"/>
    </row>
    <row r="60" ht="28" customHeight="1">
      <c r="P60" s="222">
        <v>7</v>
      </c>
      <c r="Q60" t="s" s="223">
        <v>285</v>
      </c>
      <c r="R60" t="s" s="11">
        <v>18</v>
      </c>
      <c r="S60" t="s" s="218">
        <v>25</v>
      </c>
      <c r="T60" s="24" cm="1">
        <f t="array" ref="T60">AO141+BI227+CC313+CW399</f>
        <v>0</v>
      </c>
      <c r="U60" s="24" cm="1">
        <f t="array" ref="U60">AQ141+BK227+CE313+CY399</f>
        <v>0</v>
      </c>
      <c r="V60" s="92"/>
      <c r="W60" s="219"/>
    </row>
    <row r="61" ht="28" customHeight="1">
      <c r="P61" s="222">
        <v>8</v>
      </c>
      <c r="Q61" t="s" s="223">
        <v>286</v>
      </c>
      <c r="R61" t="s" s="11">
        <v>287</v>
      </c>
      <c r="S61" t="s" s="218">
        <v>25</v>
      </c>
      <c r="T61" s="24" cm="1">
        <f t="array" ref="T61">AO142+BI228+CC314+CW400</f>
        <v>2</v>
      </c>
      <c r="U61" s="24" cm="1">
        <f t="array" ref="U61">AQ142+BK228+CE314+CY400</f>
        <v>0</v>
      </c>
      <c r="V61" s="92"/>
      <c r="W61" s="219"/>
    </row>
    <row r="62" ht="32.75" customHeight="1">
      <c r="P62" s="222">
        <v>9</v>
      </c>
      <c r="Q62" t="s" s="223">
        <v>288</v>
      </c>
      <c r="R62" t="s" s="11">
        <v>45</v>
      </c>
      <c r="S62" t="s" s="218">
        <v>25</v>
      </c>
      <c r="T62" s="24">
        <v>13</v>
      </c>
      <c r="U62" s="24" cm="1">
        <f t="array" ref="U62">CQ403+CT403</f>
        <v>2</v>
      </c>
      <c r="V62" s="92" cm="1">
        <f t="array" ref="V62">E9/T62</f>
        <v>76.5384615384615</v>
      </c>
      <c r="W62" s="219"/>
    </row>
    <row r="63" ht="20.05" customHeight="1">
      <c r="P63" s="222">
        <v>10</v>
      </c>
      <c r="Q63" t="s" s="223">
        <v>289</v>
      </c>
      <c r="R63" t="s" s="11">
        <v>154</v>
      </c>
      <c r="S63" t="s" s="218">
        <v>25</v>
      </c>
      <c r="T63" s="24" cm="1">
        <f t="array" ref="T63">AO148+BI234+CC320+CW406</f>
        <v>9</v>
      </c>
      <c r="U63" s="24" cm="1">
        <f t="array" ref="U63">AQ148+BK234+CE320+CY406</f>
        <v>0</v>
      </c>
      <c r="V63" s="92" cm="1">
        <f t="array" ref="V63">E10/T63</f>
        <v>110.555555555556</v>
      </c>
      <c r="W63" s="219"/>
    </row>
    <row r="64" ht="28" customHeight="1">
      <c r="P64" s="220">
        <v>11</v>
      </c>
      <c r="Q64" t="s" s="221">
        <v>290</v>
      </c>
      <c r="R64" t="s" s="32">
        <v>257</v>
      </c>
      <c r="S64" t="s" s="218">
        <v>25</v>
      </c>
      <c r="T64" s="24" cm="1">
        <f t="array" ref="T64">AO171+BI257+CC343+CW429</f>
        <v>10</v>
      </c>
      <c r="U64" s="24" cm="1">
        <f t="array" ref="U64">AQ171+BK257+CE343+CY429+DS514</f>
        <v>0</v>
      </c>
      <c r="V64" s="92" cm="1">
        <f t="array" ref="V64">600/T64</f>
        <v>60</v>
      </c>
      <c r="W64" s="219"/>
    </row>
    <row r="65" ht="20.05" customHeight="1">
      <c r="P65" s="220">
        <v>12</v>
      </c>
      <c r="Q65" t="s" s="221">
        <v>291</v>
      </c>
      <c r="R65" t="s" s="32">
        <v>292</v>
      </c>
      <c r="S65" t="s" s="218">
        <v>25</v>
      </c>
      <c r="T65" s="24" cm="1">
        <f t="array" ref="T65">AO170+BI256+CC342+CW428</f>
        <v>11</v>
      </c>
      <c r="U65" s="24" cm="1">
        <f t="array" ref="U65">AQ170+BK256+CE342+CY428+DS513</f>
        <v>0</v>
      </c>
      <c r="V65" s="92" cm="1">
        <f t="array" ref="V65">E19/T65</f>
        <v>54.5454545454545</v>
      </c>
      <c r="W65" s="219"/>
    </row>
    <row r="66" ht="20.05" customHeight="1">
      <c r="P66" s="220">
        <v>13</v>
      </c>
      <c r="Q66" t="s" s="221">
        <v>293</v>
      </c>
      <c r="R66" t="s" s="32">
        <v>244</v>
      </c>
      <c r="S66" t="s" s="218">
        <v>25</v>
      </c>
      <c r="T66" s="24" cm="1">
        <f t="array" ref="T66">AO167+BI253+CC339+CW425</f>
        <v>3</v>
      </c>
      <c r="U66" s="24" cm="1">
        <f t="array" ref="U66">AQ167+BK253+CE339+CY425+DS510</f>
        <v>0</v>
      </c>
      <c r="V66" s="92" cm="1">
        <f t="array" ref="V66">600/T66</f>
        <v>200</v>
      </c>
      <c r="W66" s="219"/>
    </row>
    <row r="67" ht="20.05" customHeight="1">
      <c r="P67" s="220">
        <v>14</v>
      </c>
      <c r="Q67" t="s" s="221">
        <v>294</v>
      </c>
      <c r="R67" t="s" s="32">
        <v>242</v>
      </c>
      <c r="S67" t="s" s="218">
        <v>25</v>
      </c>
      <c r="T67" s="24" cm="1">
        <f t="array" ref="T67">AO166+BI252+CC338+CW424</f>
        <v>6</v>
      </c>
      <c r="U67" s="24" cm="1">
        <f t="array" ref="U67">AQ166+BK265+CE351+CY437</f>
        <v>0</v>
      </c>
      <c r="V67" s="92" cm="1">
        <f t="array" ref="V67">600/T67</f>
        <v>100</v>
      </c>
      <c r="W67" s="219"/>
    </row>
    <row r="68" ht="28" customHeight="1">
      <c r="P68" s="222">
        <v>15</v>
      </c>
      <c r="Q68" t="s" s="223">
        <v>295</v>
      </c>
      <c r="R68" t="s" s="11">
        <v>155</v>
      </c>
      <c r="S68" t="s" s="218">
        <v>25</v>
      </c>
      <c r="T68" s="24" cm="1">
        <f t="array" ref="T68">AO149+BI235+CC321+CW407</f>
        <v>13</v>
      </c>
      <c r="U68" s="24" cm="1">
        <f t="array" ref="U68">AQ149+BK235+CE321+CY407</f>
        <v>0</v>
      </c>
      <c r="V68" s="92" cm="1">
        <f t="array" ref="V68">583/T68</f>
        <v>44.8461538461538</v>
      </c>
      <c r="W68" s="219"/>
    </row>
    <row r="69" ht="28" customHeight="1">
      <c r="P69" s="216">
        <v>16</v>
      </c>
      <c r="Q69" t="s" s="217">
        <v>296</v>
      </c>
      <c r="R69" t="s" s="95">
        <v>37</v>
      </c>
      <c r="S69" t="s" s="218">
        <v>25</v>
      </c>
      <c r="T69" s="24" cm="1">
        <f t="array" ref="T69">AO153+BI239+CC325+CW411</f>
        <v>6</v>
      </c>
      <c r="U69" s="24" cm="1">
        <f t="array" ref="U69">AQ153+BK239+CE325+CY411</f>
        <v>0</v>
      </c>
      <c r="V69" s="92" cm="1">
        <f t="array" ref="V69">I35/T69</f>
        <v>171.82</v>
      </c>
      <c r="W69" s="219"/>
    </row>
    <row r="70" ht="28" customHeight="1">
      <c r="P70" s="222">
        <v>17</v>
      </c>
      <c r="Q70" t="s" s="223">
        <v>297</v>
      </c>
      <c r="R70" t="s" s="11">
        <v>19</v>
      </c>
      <c r="S70" t="s" s="218">
        <v>25</v>
      </c>
      <c r="T70" s="24" cm="1">
        <f t="array" ref="T70">AO150+BI236+CC322+CW408</f>
        <v>2</v>
      </c>
      <c r="U70" s="24" cm="1">
        <f t="array" ref="U70">AQ150+BK236+CE322+CY408</f>
        <v>0</v>
      </c>
      <c r="V70" s="92" cm="1">
        <f t="array" ref="V70">I12/T70</f>
        <v>497.5</v>
      </c>
      <c r="W70" s="219"/>
    </row>
    <row r="71" ht="28" customHeight="1">
      <c r="P71" s="220">
        <v>18</v>
      </c>
      <c r="Q71" t="s" s="221">
        <v>298</v>
      </c>
      <c r="R71" t="s" s="32">
        <v>239</v>
      </c>
      <c r="S71" t="s" s="218">
        <v>25</v>
      </c>
      <c r="T71" s="24" cm="1">
        <f t="array" ref="T71">AO165+BI251+CC337+CW423</f>
        <v>2</v>
      </c>
      <c r="U71" s="24" cm="1">
        <f t="array" ref="U71">AQ165+BK264+CE350+CY436</f>
        <v>0</v>
      </c>
      <c r="V71" s="92" cm="1">
        <f t="array" ref="V71">E13/T71</f>
        <v>375</v>
      </c>
      <c r="W71" s="219"/>
    </row>
    <row r="72" ht="28" customHeight="1">
      <c r="P72" s="220">
        <v>19</v>
      </c>
      <c r="Q72" t="s" s="221">
        <v>299</v>
      </c>
      <c r="R72" t="s" s="32">
        <v>262</v>
      </c>
      <c r="S72" t="s" s="218">
        <v>25</v>
      </c>
      <c r="T72" s="24" cm="1">
        <f t="array" ref="T72">AO173+BI259+CC345+CW431</f>
        <v>8</v>
      </c>
      <c r="U72" s="24" cm="1">
        <f t="array" ref="U72">AQ173+BK259+CE345+CY431+DS516</f>
        <v>0</v>
      </c>
      <c r="V72" s="92" cm="1">
        <f t="array" ref="V72">600/T72</f>
        <v>75</v>
      </c>
      <c r="W72" s="219"/>
    </row>
    <row r="73" ht="28" customHeight="1">
      <c r="P73" s="220">
        <v>20</v>
      </c>
      <c r="Q73" t="s" s="221">
        <v>300</v>
      </c>
      <c r="R73" t="s" s="32">
        <v>265</v>
      </c>
      <c r="S73" t="s" s="218">
        <v>25</v>
      </c>
      <c r="T73" s="24" cm="1">
        <f t="array" ref="T73">AO174+BI260+CC346+CW432</f>
        <v>8</v>
      </c>
      <c r="U73" s="24" cm="1">
        <f t="array" ref="U73">AQ174+BK260+CE346+CY432+DS517</f>
        <v>0</v>
      </c>
      <c r="V73" s="92" cm="1">
        <f t="array" ref="V73">I23/T73</f>
        <v>124.375</v>
      </c>
      <c r="W73" s="219"/>
    </row>
    <row r="74" ht="28" customHeight="1">
      <c r="P74" s="220">
        <v>21</v>
      </c>
      <c r="Q74" t="s" s="221">
        <v>301</v>
      </c>
      <c r="R74" t="s" s="32">
        <v>250</v>
      </c>
      <c r="S74" t="s" s="218">
        <v>25</v>
      </c>
      <c r="T74" s="24" cm="1">
        <f t="array" ref="T74">AO168+BI254+CC340+CW426</f>
        <v>8</v>
      </c>
      <c r="U74" s="24" cm="1">
        <f t="array" ref="U74">AQ168+BK254+CE340+CY426+DS511</f>
        <v>0</v>
      </c>
      <c r="V74" s="92" cm="1">
        <f t="array" ref="V74">600/T74</f>
        <v>75</v>
      </c>
      <c r="W74" s="219"/>
    </row>
    <row r="75" ht="23.35" customHeight="1">
      <c r="P75" s="220">
        <v>22</v>
      </c>
      <c r="Q75" t="s" s="221">
        <v>302</v>
      </c>
      <c r="R75" t="s" s="32">
        <v>268</v>
      </c>
      <c r="S75" t="s" s="218">
        <v>25</v>
      </c>
      <c r="T75" s="24" cm="1">
        <f t="array" ref="T75">AO175+BI261+CC347+CW433+DQ518</f>
        <v>3</v>
      </c>
      <c r="U75" s="24" cm="1">
        <f t="array" ref="U75">AQ175+BK261+CE347+CY433+DS518</f>
        <v>0</v>
      </c>
      <c r="V75" s="92" cm="1">
        <f t="array" ref="V75">I24/T75</f>
        <v>400</v>
      </c>
      <c r="W75" s="219"/>
    </row>
    <row r="76" ht="20.05" customHeight="1">
      <c r="P76" s="220">
        <v>23</v>
      </c>
      <c r="Q76" t="s" s="221">
        <v>303</v>
      </c>
      <c r="R76" t="s" s="32">
        <v>156</v>
      </c>
      <c r="S76" t="s" s="218">
        <v>25</v>
      </c>
      <c r="T76" s="24" cm="1">
        <f t="array" ref="T76">AO164+BI250+CC336+CW413</f>
        <v>14</v>
      </c>
      <c r="U76" s="24" cm="1">
        <f t="array" ref="U76">AQ164+BK250+CE336+CY413</f>
        <v>0</v>
      </c>
      <c r="V76" s="92"/>
      <c r="W76" s="219"/>
    </row>
    <row r="77" ht="28" customHeight="1">
      <c r="P77" s="220">
        <v>24</v>
      </c>
      <c r="Q77" t="s" s="221">
        <v>304</v>
      </c>
      <c r="R77" t="s" s="32">
        <v>259</v>
      </c>
      <c r="S77" t="s" s="218">
        <v>25</v>
      </c>
      <c r="T77" s="24" cm="1">
        <f t="array" ref="T77">AO172+BI258+CC344+CW430</f>
        <v>3</v>
      </c>
      <c r="U77" s="24" cm="1">
        <f t="array" ref="U77">AQ172+BK258+CE344+CY430+DS515</f>
        <v>0</v>
      </c>
      <c r="V77" s="92" cm="1">
        <f t="array" ref="V77">I21/T77</f>
        <v>83.3333333333333</v>
      </c>
      <c r="W77" s="219"/>
    </row>
    <row r="78" ht="28" customHeight="1">
      <c r="P78" s="220">
        <v>25</v>
      </c>
      <c r="Q78" t="s" s="221">
        <v>305</v>
      </c>
      <c r="R78" t="s" s="32">
        <v>274</v>
      </c>
      <c r="S78" t="s" s="218">
        <v>25</v>
      </c>
      <c r="T78" s="24" cm="1">
        <f t="array" ref="T78">AO156+BI241+CC328+CW415+DQ499</f>
        <v>2</v>
      </c>
      <c r="U78" s="24" cm="1">
        <f t="array" ref="U78">AQ156+BK241+CE328+CY415+DS499</f>
        <v>0</v>
      </c>
      <c r="V78" s="92"/>
      <c r="W78" s="219"/>
    </row>
    <row r="79" ht="28" customHeight="1">
      <c r="P79" s="220">
        <v>26</v>
      </c>
      <c r="Q79" t="s" s="221">
        <v>306</v>
      </c>
      <c r="R79" t="s" s="32">
        <v>48</v>
      </c>
      <c r="S79" t="s" s="218">
        <v>25</v>
      </c>
      <c r="T79" s="24" cm="1">
        <f t="array" ref="T79">AO157+BI243+CC329+CW416</f>
        <v>5</v>
      </c>
      <c r="U79" s="24" cm="1">
        <f t="array" ref="U79">AQ157+BK243+CE329+CY416</f>
        <v>0</v>
      </c>
      <c r="V79" s="92"/>
      <c r="W79" s="219"/>
    </row>
    <row r="80" ht="28" customHeight="1">
      <c r="P80" s="220">
        <v>27</v>
      </c>
      <c r="Q80" t="s" s="221">
        <v>307</v>
      </c>
      <c r="R80" t="s" s="32">
        <v>49</v>
      </c>
      <c r="S80" t="s" s="218">
        <v>25</v>
      </c>
      <c r="T80" s="24" cm="1">
        <f t="array" ref="T80">AO158+BI244+CC330+CW417</f>
        <v>5</v>
      </c>
      <c r="U80" s="24" cm="1">
        <f t="array" ref="U80">AQ158+BK244+CE330+CY417</f>
        <v>0</v>
      </c>
      <c r="V80" s="92"/>
      <c r="W80" s="219"/>
    </row>
    <row r="81" ht="28" customHeight="1">
      <c r="P81" s="220">
        <v>28</v>
      </c>
      <c r="Q81" t="s" s="221">
        <v>308</v>
      </c>
      <c r="R81" t="s" s="32">
        <v>50</v>
      </c>
      <c r="S81" t="s" s="218">
        <v>25</v>
      </c>
      <c r="T81" s="24" cm="1">
        <f t="array" ref="T81">AO159+BI245+CC331+CW418</f>
        <v>4</v>
      </c>
      <c r="U81" s="24" cm="1">
        <f t="array" ref="U81">AQ159+BK245+CE331+CY418</f>
        <v>0</v>
      </c>
      <c r="V81" s="92"/>
      <c r="W81" s="219"/>
    </row>
    <row r="82" ht="28" customHeight="1">
      <c r="P82" s="220">
        <v>29</v>
      </c>
      <c r="Q82" t="s" s="221">
        <v>309</v>
      </c>
      <c r="R82" t="s" s="32">
        <v>51</v>
      </c>
      <c r="S82" t="s" s="218">
        <v>25</v>
      </c>
      <c r="T82" s="24" cm="1">
        <f t="array" ref="T82">AO160+BI246+CC332+CW419</f>
        <v>0</v>
      </c>
      <c r="U82" s="24" cm="1">
        <f t="array" ref="U82">AQ160+BK246+CE332+CY419</f>
        <v>0</v>
      </c>
      <c r="V82" s="92"/>
      <c r="W82" s="219"/>
    </row>
    <row r="83" ht="28" customHeight="1">
      <c r="P83" s="220">
        <v>30</v>
      </c>
      <c r="Q83" t="s" s="221">
        <v>310</v>
      </c>
      <c r="R83" t="s" s="32">
        <v>52</v>
      </c>
      <c r="S83" t="s" s="218">
        <v>25</v>
      </c>
      <c r="T83" s="24" cm="1">
        <f t="array" ref="T83">AO161+BI247+CC333+CW420</f>
        <v>3</v>
      </c>
      <c r="U83" s="24" cm="1">
        <f t="array" ref="U83">AQ161+BK247+CE333+CY420</f>
        <v>0</v>
      </c>
      <c r="V83" s="92"/>
      <c r="W83" s="219"/>
    </row>
    <row r="84" ht="28" customHeight="1">
      <c r="P84" s="220">
        <v>31</v>
      </c>
      <c r="Q84" t="s" s="221">
        <v>311</v>
      </c>
      <c r="R84" t="s" s="32">
        <v>115</v>
      </c>
      <c r="S84" t="s" s="218">
        <v>25</v>
      </c>
      <c r="T84" s="24" cm="1">
        <f t="array" ref="T84">AO162+BI248+CC334+CW421</f>
        <v>6</v>
      </c>
      <c r="U84" s="24" cm="1">
        <f t="array" ref="U84">AQ162+BK248+CE334+CY421</f>
        <v>0</v>
      </c>
      <c r="V84" s="92"/>
      <c r="W84" s="219"/>
    </row>
    <row r="85" ht="28" customHeight="1">
      <c r="P85" s="224">
        <v>32</v>
      </c>
      <c r="Q85" t="s" s="221">
        <v>312</v>
      </c>
      <c r="R85" t="s" s="32">
        <v>197</v>
      </c>
      <c r="S85" t="s" s="218">
        <v>25</v>
      </c>
      <c r="T85" s="24" cm="1">
        <f t="array" ref="T85">AO163+BI249+CC335+CW422</f>
        <v>2</v>
      </c>
      <c r="U85" s="24" cm="1">
        <f t="array" ref="U85">AQ163+BK249+CE335+CY422</f>
        <v>0</v>
      </c>
      <c r="V85" s="92"/>
      <c r="W85" s="219"/>
    </row>
    <row r="86" ht="28" customHeight="1">
      <c r="P86" s="224">
        <v>33</v>
      </c>
      <c r="Q86" t="s" s="225">
        <v>313</v>
      </c>
      <c r="R86" t="s" s="172">
        <v>46</v>
      </c>
      <c r="S86" t="s" s="218">
        <v>25</v>
      </c>
      <c r="T86" s="24" cm="1">
        <f t="array" ref="T86">AO146+BI232+CC318+CW404</f>
        <v>16</v>
      </c>
      <c r="U86" s="24" cm="1">
        <f t="array" ref="U86">AQ146+BK232+CE318+CY404</f>
        <v>0</v>
      </c>
      <c r="V86" s="92"/>
      <c r="W86" s="219"/>
    </row>
    <row r="87" ht="28" customHeight="1">
      <c r="P87" s="220">
        <v>34</v>
      </c>
      <c r="Q87" t="s" s="225">
        <v>314</v>
      </c>
      <c r="R87" t="s" s="172">
        <v>191</v>
      </c>
      <c r="S87" t="s" s="218">
        <v>25</v>
      </c>
      <c r="T87" s="24" cm="1">
        <f t="array" ref="T87">AO147+BI233+CC319+CW405</f>
        <v>11</v>
      </c>
      <c r="U87" s="24" cm="1">
        <f t="array" ref="U87">AQ147+BK233+CE319+CY405</f>
        <v>0</v>
      </c>
      <c r="V87" s="92"/>
      <c r="W87" s="219"/>
    </row>
    <row r="88" ht="23.35" customHeight="1">
      <c r="P88" s="220">
        <v>35</v>
      </c>
      <c r="Q88" t="s" s="221">
        <v>315</v>
      </c>
      <c r="R88" t="s" s="32">
        <v>109</v>
      </c>
      <c r="S88" t="s" s="218">
        <v>25</v>
      </c>
      <c r="T88" s="24" cm="1">
        <f t="array" ref="T88">AO144+BI230+CC316+CW402</f>
        <v>6</v>
      </c>
      <c r="U88" s="24" cm="1">
        <f t="array" ref="U88">AQ144+BK230+CE316+CY402</f>
        <v>0</v>
      </c>
      <c r="V88" s="92"/>
      <c r="W88" s="219"/>
    </row>
    <row r="89" ht="23.35" customHeight="1">
      <c r="P89" s="220">
        <v>36</v>
      </c>
      <c r="Q89" t="s" s="221">
        <v>316</v>
      </c>
      <c r="R89" t="s" s="32">
        <v>270</v>
      </c>
      <c r="S89" t="s" s="218">
        <v>25</v>
      </c>
      <c r="T89" s="24" cm="1">
        <f t="array" ref="T89">AO176+BI262+CC348+CW434+DQ519</f>
        <v>3</v>
      </c>
      <c r="U89" s="24" cm="1">
        <f t="array" ref="U89">AQ176+BK262+CE348+CY434+DS519</f>
        <v>0</v>
      </c>
      <c r="V89" s="92"/>
      <c r="W89" s="219"/>
    </row>
    <row r="90" ht="23.35" customHeight="1">
      <c r="P90" s="220">
        <v>37</v>
      </c>
      <c r="Q90" t="s" s="221">
        <v>317</v>
      </c>
      <c r="R90" t="s" s="32">
        <v>272</v>
      </c>
      <c r="S90" t="s" s="218">
        <v>25</v>
      </c>
      <c r="T90" s="24" cm="1">
        <f t="array" ref="T90">AO177+BI263+CC349+CW435+DQ520</f>
        <v>0</v>
      </c>
      <c r="U90" s="24" cm="1">
        <f t="array" ref="U90">AQ177+BK263+CE349+CY435+DS520</f>
        <v>0</v>
      </c>
      <c r="V90" s="92"/>
      <c r="W90" s="219"/>
    </row>
    <row r="91" ht="23.35" customHeight="1">
      <c r="P91" s="220">
        <v>38</v>
      </c>
      <c r="Q91" t="s" s="221">
        <v>318</v>
      </c>
      <c r="R91" t="s" s="32">
        <v>319</v>
      </c>
      <c r="S91" t="s" s="218">
        <v>25</v>
      </c>
      <c r="T91" s="24" cm="1">
        <f t="array" ref="T91">AO169+BI255+CC341+CW427+DQ512</f>
        <v>1</v>
      </c>
      <c r="U91" s="24" cm="1">
        <f t="array" ref="U91">AQ178+BK264+CE350+CY436+DS521</f>
        <v>0</v>
      </c>
      <c r="V91" s="92"/>
      <c r="W91" s="219"/>
    </row>
    <row r="92" ht="28" customHeight="1">
      <c r="P92" s="221"/>
      <c r="Q92" s="221"/>
      <c r="R92" t="s" s="32">
        <v>102</v>
      </c>
      <c r="S92" t="s" s="218">
        <v>25</v>
      </c>
      <c r="T92" s="24" cm="1">
        <f t="array" ref="T92">AO178+BI264+CC350+CW436</f>
        <v>20</v>
      </c>
      <c r="U92" s="24" cm="1">
        <f t="array" ref="U92">AQ178+BK264+CE350+CY436+DS521</f>
        <v>0</v>
      </c>
      <c r="V92" s="92"/>
      <c r="W92" s="219"/>
    </row>
    <row r="93" ht="28" customHeight="1">
      <c r="P93" s="221"/>
      <c r="Q93" s="221"/>
      <c r="R93" t="s" s="32">
        <v>30</v>
      </c>
      <c r="S93" s="38">
        <v>160</v>
      </c>
      <c r="T93" s="40" cm="1">
        <f t="array" ref="T93">SUM(T54:T92)</f>
        <v>267</v>
      </c>
      <c r="U93" s="40" cm="1">
        <f t="array" ref="U93">SUM(U54:U92)</f>
        <v>2</v>
      </c>
      <c r="V93" s="207" cm="1">
        <f t="array" ref="V93">SUM(V54:V92)</f>
        <v>2832.808076466020</v>
      </c>
      <c r="W93" s="226" cm="1">
        <f t="array" ref="W93">SUM(W54:W92)</f>
        <v>0.2</v>
      </c>
    </row>
    <row r="95" ht="27.65" customHeight="1">
      <c r="X95" t="s" s="2">
        <v>60</v>
      </c>
      <c r="Y95" s="2"/>
      <c r="Z95" s="2"/>
      <c r="AA95" s="2"/>
      <c r="AB95" s="2"/>
      <c r="AC95" s="2"/>
      <c r="AD95" s="2"/>
      <c r="AE95" s="2"/>
      <c r="AF95" s="2"/>
      <c r="AG95" s="2"/>
    </row>
    <row r="96" ht="44.5" customHeight="1">
      <c r="X96" s="35"/>
      <c r="Y96" t="s" s="228">
        <v>320</v>
      </c>
      <c r="Z96" t="s" s="3">
        <v>321</v>
      </c>
      <c r="AA96" t="s" s="3">
        <v>322</v>
      </c>
      <c r="AB96" t="s" s="3">
        <v>323</v>
      </c>
      <c r="AC96" t="s" s="3">
        <v>324</v>
      </c>
      <c r="AD96" t="s" s="3">
        <v>325</v>
      </c>
      <c r="AE96" t="s" s="3">
        <v>326</v>
      </c>
      <c r="AF96" t="s" s="3">
        <v>68</v>
      </c>
      <c r="AG96" t="s" s="3">
        <v>69</v>
      </c>
    </row>
    <row r="97" ht="27.95" customHeight="1">
      <c r="X97" t="s" s="6">
        <v>16</v>
      </c>
      <c r="Y97" s="136"/>
      <c r="Z97" s="229"/>
      <c r="AA97" s="229"/>
      <c r="AB97" s="123"/>
      <c r="AC97" s="123"/>
      <c r="AD97" s="123"/>
      <c r="AE97" s="123"/>
      <c r="AF97" s="123"/>
      <c r="AG97" s="123"/>
    </row>
    <row r="98" ht="27.7" customHeight="1">
      <c r="X98" t="s" s="11">
        <v>18</v>
      </c>
      <c r="Y98" s="173"/>
      <c r="Z98" s="78"/>
      <c r="AA98" s="78"/>
      <c r="AB98" s="78"/>
      <c r="AC98" s="48"/>
      <c r="AD98" s="48"/>
      <c r="AE98" s="48"/>
      <c r="AF98" s="48"/>
      <c r="AG98" s="48"/>
    </row>
    <row r="99" ht="27.7" customHeight="1">
      <c r="X99" t="s" s="11">
        <v>287</v>
      </c>
      <c r="Y99" s="173"/>
      <c r="Z99" s="78"/>
      <c r="AA99" s="78"/>
      <c r="AB99" s="78"/>
      <c r="AC99" s="48"/>
      <c r="AD99" s="48"/>
      <c r="AE99" s="48"/>
      <c r="AF99" s="48"/>
      <c r="AG99" s="48"/>
    </row>
    <row r="100" ht="27.7" customHeight="1">
      <c r="X100" t="s" s="11">
        <v>27</v>
      </c>
      <c r="Y100" s="173"/>
      <c r="Z100" s="78"/>
      <c r="AA100" s="78"/>
      <c r="AB100" s="78"/>
      <c r="AC100" s="48"/>
      <c r="AD100" s="48"/>
      <c r="AE100" s="48"/>
      <c r="AF100" s="48"/>
      <c r="AG100" s="48"/>
    </row>
    <row r="101" ht="27.7" customHeight="1">
      <c r="X101" t="s" s="32">
        <v>109</v>
      </c>
      <c r="Y101" s="173"/>
      <c r="Z101" s="78"/>
      <c r="AA101" s="78"/>
      <c r="AB101" s="78"/>
      <c r="AC101" s="48"/>
      <c r="AD101" s="48"/>
      <c r="AE101" s="48"/>
      <c r="AF101" s="48"/>
      <c r="AG101" s="48"/>
    </row>
    <row r="102" ht="28.85" customHeight="1">
      <c r="X102" t="s" s="11">
        <v>45</v>
      </c>
      <c r="Y102" s="173"/>
      <c r="Z102" s="78"/>
      <c r="AA102" s="78"/>
      <c r="AB102" s="78"/>
      <c r="AC102" s="48"/>
      <c r="AD102" s="48"/>
      <c r="AE102" s="48"/>
      <c r="AF102" s="48"/>
      <c r="AG102" s="48"/>
    </row>
    <row r="103" ht="27.7" customHeight="1">
      <c r="X103" t="s" s="11">
        <v>154</v>
      </c>
      <c r="Y103" s="173"/>
      <c r="Z103" s="78"/>
      <c r="AA103" s="78"/>
      <c r="AB103" s="78"/>
      <c r="AC103" s="48"/>
      <c r="AD103" s="48"/>
      <c r="AE103" s="48"/>
      <c r="AF103" s="48"/>
      <c r="AG103" s="48"/>
    </row>
    <row r="104" ht="27.7" customHeight="1">
      <c r="X104" t="s" s="11">
        <v>155</v>
      </c>
      <c r="Y104" s="173"/>
      <c r="Z104" s="78"/>
      <c r="AA104" s="78"/>
      <c r="AB104" s="78"/>
      <c r="AC104" s="48"/>
      <c r="AD104" s="48"/>
      <c r="AE104" s="48"/>
      <c r="AF104" s="48"/>
      <c r="AG104" s="48"/>
    </row>
    <row r="105" ht="27.7" customHeight="1">
      <c r="X105" t="s" s="11">
        <v>19</v>
      </c>
      <c r="Y105" s="173"/>
      <c r="Z105" s="78"/>
      <c r="AA105" s="78"/>
      <c r="AB105" s="78"/>
      <c r="AC105" s="48"/>
      <c r="AD105" s="48"/>
      <c r="AE105" s="48"/>
      <c r="AF105" s="48"/>
      <c r="AG105" s="48"/>
    </row>
    <row r="106" ht="27.7" customHeight="1">
      <c r="X106" t="s" s="95">
        <v>35</v>
      </c>
      <c r="Y106" s="173"/>
      <c r="Z106" s="78"/>
      <c r="AA106" s="78"/>
      <c r="AB106" s="78"/>
      <c r="AC106" s="48"/>
      <c r="AD106" s="48"/>
      <c r="AE106" s="78"/>
      <c r="AF106" s="78"/>
      <c r="AG106" s="78"/>
    </row>
    <row r="107" ht="27.7" customHeight="1">
      <c r="X107" t="s" s="95">
        <v>10</v>
      </c>
      <c r="Y107" s="173"/>
      <c r="Z107" s="78"/>
      <c r="AA107" s="78"/>
      <c r="AB107" s="78"/>
      <c r="AC107" s="48"/>
      <c r="AD107" s="48"/>
      <c r="AE107" s="48"/>
      <c r="AF107" s="48"/>
      <c r="AG107" s="48"/>
    </row>
    <row r="108" ht="27.7" customHeight="1">
      <c r="X108" t="s" s="95">
        <v>37</v>
      </c>
      <c r="Y108" s="173"/>
      <c r="Z108" s="78"/>
      <c r="AA108" s="78"/>
      <c r="AB108" s="78"/>
      <c r="AC108" s="48"/>
      <c r="AD108" s="48"/>
      <c r="AE108" s="48"/>
      <c r="AF108" s="48"/>
      <c r="AG108" s="48"/>
    </row>
    <row r="109" ht="27.7" customHeight="1">
      <c r="X109" t="s" s="11">
        <v>32</v>
      </c>
      <c r="Y109" s="173"/>
      <c r="Z109" s="78"/>
      <c r="AA109" s="78"/>
      <c r="AB109" s="78"/>
      <c r="AC109" s="48"/>
      <c r="AD109" s="48"/>
      <c r="AE109" s="48"/>
      <c r="AF109" s="48"/>
      <c r="AG109" s="48"/>
    </row>
    <row r="110" ht="27.7" customHeight="1">
      <c r="X110" t="s" s="172">
        <v>46</v>
      </c>
      <c r="Y110" s="173"/>
      <c r="Z110" s="78"/>
      <c r="AA110" s="78"/>
      <c r="AB110" s="78"/>
      <c r="AC110" s="48"/>
      <c r="AD110" s="48"/>
      <c r="AE110" s="48"/>
      <c r="AF110" s="48"/>
      <c r="AG110" s="48"/>
    </row>
    <row r="111" ht="27.7" customHeight="1">
      <c r="X111" t="s" s="172">
        <v>191</v>
      </c>
      <c r="Y111" s="173"/>
      <c r="Z111" s="78"/>
      <c r="AA111" s="78"/>
      <c r="AB111" s="78"/>
      <c r="AC111" s="48"/>
      <c r="AD111" s="48"/>
      <c r="AE111" s="48"/>
      <c r="AF111" s="48"/>
      <c r="AG111" s="48"/>
    </row>
    <row r="112" ht="27.7" customHeight="1">
      <c r="X112" t="s" s="32">
        <v>47</v>
      </c>
      <c r="Y112" s="173"/>
      <c r="Z112" s="78"/>
      <c r="AA112" s="78"/>
      <c r="AB112" s="78"/>
      <c r="AC112" s="48"/>
      <c r="AD112" s="48"/>
      <c r="AE112" s="48"/>
      <c r="AF112" s="48"/>
      <c r="AG112" s="48"/>
    </row>
    <row r="113" ht="27.7" customHeight="1">
      <c r="X113" t="s" s="32">
        <v>274</v>
      </c>
      <c r="Y113" s="55"/>
      <c r="Z113" s="48"/>
      <c r="AA113" s="48"/>
      <c r="AB113" s="48"/>
      <c r="AC113" s="48"/>
      <c r="AD113" s="48"/>
      <c r="AE113" s="48"/>
      <c r="AF113" s="48"/>
      <c r="AG113" s="48"/>
    </row>
    <row r="114" ht="27.7" customHeight="1">
      <c r="X114" t="s" s="32">
        <v>48</v>
      </c>
      <c r="Y114" s="173"/>
      <c r="Z114" s="78"/>
      <c r="AA114" s="78"/>
      <c r="AB114" s="78"/>
      <c r="AC114" s="48"/>
      <c r="AD114" s="48"/>
      <c r="AE114" s="48"/>
      <c r="AF114" s="48"/>
      <c r="AG114" s="48"/>
    </row>
    <row r="115" ht="27.7" customHeight="1">
      <c r="X115" t="s" s="32">
        <v>49</v>
      </c>
      <c r="Y115" s="173"/>
      <c r="Z115" s="78"/>
      <c r="AA115" s="78"/>
      <c r="AB115" s="78"/>
      <c r="AC115" s="48"/>
      <c r="AD115" s="48"/>
      <c r="AE115" s="48"/>
      <c r="AF115" s="48"/>
      <c r="AG115" s="48"/>
    </row>
    <row r="116" ht="27.7" customHeight="1">
      <c r="X116" t="s" s="32">
        <v>50</v>
      </c>
      <c r="Y116" s="173"/>
      <c r="Z116" s="78"/>
      <c r="AA116" s="78"/>
      <c r="AB116" s="78"/>
      <c r="AC116" s="48"/>
      <c r="AD116" s="48"/>
      <c r="AE116" s="48"/>
      <c r="AF116" s="48"/>
      <c r="AG116" s="48"/>
    </row>
    <row r="117" ht="27.7" customHeight="1">
      <c r="X117" t="s" s="32">
        <v>51</v>
      </c>
      <c r="Y117" s="173"/>
      <c r="Z117" s="78"/>
      <c r="AA117" s="78"/>
      <c r="AB117" s="78"/>
      <c r="AC117" s="48"/>
      <c r="AD117" s="48"/>
      <c r="AE117" s="48"/>
      <c r="AF117" s="48"/>
      <c r="AG117" s="48"/>
    </row>
    <row r="118" ht="28" customHeight="1">
      <c r="X118" t="s" s="32">
        <v>52</v>
      </c>
      <c r="Y118" s="173"/>
      <c r="Z118" s="78"/>
      <c r="AA118" s="78"/>
      <c r="AB118" s="78"/>
      <c r="AC118" s="48"/>
      <c r="AD118" s="48"/>
      <c r="AE118" s="48"/>
      <c r="AF118" s="48"/>
      <c r="AG118" s="48"/>
    </row>
    <row r="119" ht="20.05" customHeight="1">
      <c r="X119" t="s" s="32">
        <v>115</v>
      </c>
      <c r="Y119" s="173"/>
      <c r="Z119" s="78"/>
      <c r="AA119" s="189">
        <v>1</v>
      </c>
      <c r="AB119" s="78"/>
      <c r="AC119" s="48"/>
      <c r="AD119" s="48"/>
      <c r="AE119" s="78"/>
      <c r="AF119" s="78"/>
      <c r="AG119" s="78"/>
    </row>
    <row r="120" ht="27.7" customHeight="1">
      <c r="X120" t="s" s="32">
        <v>197</v>
      </c>
      <c r="Y120" s="173"/>
      <c r="Z120" s="78"/>
      <c r="AA120" s="78"/>
      <c r="AB120" s="78"/>
      <c r="AC120" s="48"/>
      <c r="AD120" s="48"/>
      <c r="AE120" s="48"/>
      <c r="AF120" s="48"/>
      <c r="AG120" s="48"/>
    </row>
    <row r="121" ht="27.7" customHeight="1">
      <c r="X121" t="s" s="32">
        <v>156</v>
      </c>
      <c r="Y121" s="173"/>
      <c r="Z121" s="78"/>
      <c r="AA121" s="78"/>
      <c r="AB121" s="78"/>
      <c r="AC121" s="48"/>
      <c r="AD121" s="48"/>
      <c r="AE121" s="48"/>
      <c r="AF121" s="48"/>
      <c r="AG121" s="48"/>
    </row>
    <row r="122" ht="27.7" customHeight="1">
      <c r="X122" t="s" s="32">
        <v>239</v>
      </c>
      <c r="Y122" s="173"/>
      <c r="Z122" s="78"/>
      <c r="AA122" s="78"/>
      <c r="AB122" s="78"/>
      <c r="AC122" s="48"/>
      <c r="AD122" s="48"/>
      <c r="AE122" s="48"/>
      <c r="AF122" s="48"/>
      <c r="AG122" s="48"/>
    </row>
    <row r="123" ht="27.7" customHeight="1">
      <c r="X123" t="s" s="32">
        <v>242</v>
      </c>
      <c r="Y123" s="173"/>
      <c r="Z123" s="78"/>
      <c r="AA123" s="78"/>
      <c r="AB123" s="78"/>
      <c r="AC123" s="48"/>
      <c r="AD123" s="48"/>
      <c r="AE123" s="48"/>
      <c r="AF123" s="48"/>
      <c r="AG123" s="48"/>
    </row>
    <row r="124" ht="27.7" customHeight="1">
      <c r="X124" t="s" s="32">
        <v>244</v>
      </c>
      <c r="Y124" s="173"/>
      <c r="Z124" s="78"/>
      <c r="AA124" s="78"/>
      <c r="AB124" s="78"/>
      <c r="AC124" s="48"/>
      <c r="AD124" s="48"/>
      <c r="AE124" s="48"/>
      <c r="AF124" s="48"/>
      <c r="AG124" s="48"/>
    </row>
    <row r="125" ht="27.7" customHeight="1">
      <c r="X125" t="s" s="32">
        <v>250</v>
      </c>
      <c r="Y125" s="173"/>
      <c r="Z125" s="78"/>
      <c r="AA125" s="78"/>
      <c r="AB125" s="78"/>
      <c r="AC125" s="48"/>
      <c r="AD125" s="48"/>
      <c r="AE125" s="48"/>
      <c r="AF125" s="48"/>
      <c r="AG125" s="48"/>
    </row>
    <row r="126" ht="27.7" customHeight="1">
      <c r="X126" s="206"/>
      <c r="Y126" s="173"/>
      <c r="Z126" s="78"/>
      <c r="AA126" s="78"/>
      <c r="AB126" s="78"/>
      <c r="AC126" s="48"/>
      <c r="AD126" s="48"/>
      <c r="AE126" s="48"/>
      <c r="AF126" s="48"/>
      <c r="AG126" s="48"/>
    </row>
    <row r="127" ht="27.7" customHeight="1">
      <c r="X127" t="s" s="32">
        <v>292</v>
      </c>
      <c r="Y127" s="173"/>
      <c r="Z127" s="78"/>
      <c r="AA127" s="78"/>
      <c r="AB127" s="78"/>
      <c r="AC127" s="48"/>
      <c r="AD127" s="48"/>
      <c r="AE127" s="48"/>
      <c r="AF127" s="48"/>
      <c r="AG127" s="48"/>
    </row>
    <row r="128" ht="27.7" customHeight="1">
      <c r="X128" t="s" s="32">
        <v>257</v>
      </c>
      <c r="Y128" s="173"/>
      <c r="Z128" s="78"/>
      <c r="AA128" s="78"/>
      <c r="AB128" s="78"/>
      <c r="AC128" s="48"/>
      <c r="AD128" s="48"/>
      <c r="AE128" s="48"/>
      <c r="AF128" s="48"/>
      <c r="AG128" s="48"/>
    </row>
    <row r="129" ht="27.7" customHeight="1">
      <c r="X129" t="s" s="32">
        <v>259</v>
      </c>
      <c r="Y129" s="173"/>
      <c r="Z129" s="78"/>
      <c r="AA129" s="78"/>
      <c r="AB129" s="78"/>
      <c r="AC129" s="48"/>
      <c r="AD129" s="48"/>
      <c r="AE129" s="48"/>
      <c r="AF129" s="48"/>
      <c r="AG129" s="48"/>
    </row>
    <row r="130" ht="27.7" customHeight="1">
      <c r="X130" t="s" s="32">
        <v>262</v>
      </c>
      <c r="Y130" s="173"/>
      <c r="Z130" s="78"/>
      <c r="AA130" s="78"/>
      <c r="AB130" s="78"/>
      <c r="AC130" s="48"/>
      <c r="AD130" s="48"/>
      <c r="AE130" s="48"/>
      <c r="AF130" s="48"/>
      <c r="AG130" s="48"/>
    </row>
    <row r="131" ht="27.7" customHeight="1">
      <c r="X131" t="s" s="32">
        <v>265</v>
      </c>
      <c r="Y131" s="173"/>
      <c r="Z131" s="78"/>
      <c r="AA131" s="78"/>
      <c r="AB131" s="78"/>
      <c r="AC131" s="48"/>
      <c r="AD131" s="48"/>
      <c r="AE131" s="48"/>
      <c r="AF131" s="48"/>
      <c r="AG131" s="48"/>
    </row>
    <row r="132" ht="27.7" customHeight="1">
      <c r="X132" t="s" s="32">
        <v>268</v>
      </c>
      <c r="Y132" s="173"/>
      <c r="Z132" s="78"/>
      <c r="AA132" s="78"/>
      <c r="AB132" s="78"/>
      <c r="AC132" s="48"/>
      <c r="AD132" s="48"/>
      <c r="AE132" s="48"/>
      <c r="AF132" s="48"/>
      <c r="AG132" s="48"/>
    </row>
    <row r="133" ht="27.7" customHeight="1">
      <c r="X133" t="s" s="32">
        <v>270</v>
      </c>
      <c r="Y133" s="173"/>
      <c r="Z133" s="78"/>
      <c r="AA133" s="78"/>
      <c r="AB133" s="78"/>
      <c r="AC133" s="48"/>
      <c r="AD133" s="48"/>
      <c r="AE133" s="48"/>
      <c r="AF133" s="48"/>
      <c r="AG133" s="48"/>
    </row>
    <row r="134" ht="27.7" customHeight="1">
      <c r="X134" t="s" s="32">
        <v>272</v>
      </c>
      <c r="Y134" s="173"/>
      <c r="Z134" s="78"/>
      <c r="AA134" s="78"/>
      <c r="AB134" s="78"/>
      <c r="AC134" s="48"/>
      <c r="AD134" s="48"/>
      <c r="AE134" s="48"/>
      <c r="AF134" s="48"/>
      <c r="AG134" s="48"/>
    </row>
    <row r="135" ht="27.7" customHeight="1">
      <c r="X135" t="s" s="32">
        <v>102</v>
      </c>
      <c r="Y135" s="173"/>
      <c r="Z135" s="78"/>
      <c r="AA135" s="78"/>
      <c r="AB135" s="78"/>
      <c r="AC135" s="48"/>
      <c r="AD135" s="48"/>
      <c r="AE135" s="48"/>
      <c r="AF135" s="48"/>
      <c r="AG135" s="230"/>
    </row>
    <row r="136" ht="27.7" customHeight="1">
      <c r="X136" t="s" s="49">
        <v>30</v>
      </c>
      <c r="Y136" s="18"/>
      <c r="Z136" s="19"/>
      <c r="AA136" s="24" cm="1">
        <f t="array" ref="AA136">SUM(AA96:AA135)</f>
        <v>1</v>
      </c>
      <c r="AB136" s="19"/>
      <c r="AC136" s="19"/>
      <c r="AD136" s="19"/>
      <c r="AE136" s="19"/>
      <c r="AF136" s="19"/>
      <c r="AG136" s="19"/>
    </row>
    <row r="138" ht="27.65" customHeight="1">
      <c r="AH138" t="s" s="2">
        <v>72</v>
      </c>
      <c r="AI138" s="2"/>
      <c r="AJ138" s="2"/>
      <c r="AK138" s="2"/>
      <c r="AL138" s="2"/>
      <c r="AM138" s="2"/>
      <c r="AN138" s="2"/>
      <c r="AO138" s="2"/>
      <c r="AP138" s="2"/>
      <c r="AQ138" s="2"/>
    </row>
    <row r="139" ht="29.5" customHeight="1">
      <c r="AH139" s="35"/>
      <c r="AI139" t="s" s="228">
        <v>320</v>
      </c>
      <c r="AJ139" t="s" s="3">
        <v>321</v>
      </c>
      <c r="AK139" t="s" s="3">
        <v>322</v>
      </c>
      <c r="AL139" t="s" s="3">
        <v>323</v>
      </c>
      <c r="AM139" t="s" s="3">
        <v>324</v>
      </c>
      <c r="AN139" t="s" s="3">
        <v>325</v>
      </c>
      <c r="AO139" t="s" s="3">
        <v>53</v>
      </c>
      <c r="AP139" t="s" s="3">
        <v>67</v>
      </c>
      <c r="AQ139" t="s" s="3">
        <v>160</v>
      </c>
    </row>
    <row r="140" ht="29.5" customHeight="1">
      <c r="AH140" t="s" s="6">
        <v>16</v>
      </c>
      <c r="AI140" s="136"/>
      <c r="AJ140" s="123"/>
      <c r="AK140" s="232">
        <v>1</v>
      </c>
      <c r="AL140" s="232">
        <v>1</v>
      </c>
      <c r="AM140" s="123"/>
      <c r="AN140" s="232">
        <v>1</v>
      </c>
      <c r="AO140" s="47" cm="1">
        <f t="array" ref="AO140">SUM(AI140:AN140)</f>
        <v>3</v>
      </c>
      <c r="AP140" s="37"/>
      <c r="AQ140" s="37"/>
    </row>
    <row r="141" ht="29.2" customHeight="1">
      <c r="AH141" t="s" s="11">
        <v>18</v>
      </c>
      <c r="AI141" s="18"/>
      <c r="AJ141" s="19"/>
      <c r="AK141" s="19"/>
      <c r="AL141" s="19"/>
      <c r="AM141" s="48"/>
      <c r="AN141" s="48"/>
      <c r="AO141" s="24" cm="1">
        <f t="array" ref="AO141">SUM(AI141:AN141)</f>
        <v>0</v>
      </c>
      <c r="AP141" s="19"/>
      <c r="AQ141" s="19"/>
    </row>
    <row r="142" ht="29.2" customHeight="1">
      <c r="AH142" t="s" s="11">
        <v>287</v>
      </c>
      <c r="AI142" s="18"/>
      <c r="AJ142" s="19"/>
      <c r="AK142" s="19"/>
      <c r="AL142" s="19"/>
      <c r="AM142" s="48"/>
      <c r="AN142" s="48"/>
      <c r="AO142" s="24" cm="1">
        <f t="array" ref="AO142">SUM(AI142:AN142)</f>
        <v>0</v>
      </c>
      <c r="AP142" s="19"/>
      <c r="AQ142" s="19"/>
    </row>
    <row r="143" ht="29.2" customHeight="1">
      <c r="AH143" t="s" s="11">
        <v>27</v>
      </c>
      <c r="AI143" s="233">
        <v>1</v>
      </c>
      <c r="AJ143" s="234">
        <v>1</v>
      </c>
      <c r="AK143" s="19"/>
      <c r="AL143" s="234">
        <v>1</v>
      </c>
      <c r="AM143" s="48"/>
      <c r="AN143" s="48"/>
      <c r="AO143" s="24" cm="1">
        <f t="array" ref="AO143">SUM(AI143:AN143)</f>
        <v>3</v>
      </c>
      <c r="AP143" s="19"/>
      <c r="AQ143" s="19"/>
    </row>
    <row r="144" ht="29.25" customHeight="1">
      <c r="AH144" t="s" s="32">
        <v>109</v>
      </c>
      <c r="AI144" s="233">
        <v>1</v>
      </c>
      <c r="AJ144" s="19"/>
      <c r="AK144" s="19"/>
      <c r="AL144" s="234">
        <v>1</v>
      </c>
      <c r="AM144" s="48"/>
      <c r="AN144" s="48"/>
      <c r="AO144" s="24" cm="1">
        <f t="array" ref="AO144">SUM(AI144:AN144)</f>
        <v>2</v>
      </c>
      <c r="AP144" s="19"/>
      <c r="AQ144" s="19"/>
    </row>
    <row r="145" ht="29.2" customHeight="1">
      <c r="AH145" t="s" s="11">
        <v>45</v>
      </c>
      <c r="AI145" s="18"/>
      <c r="AJ145" s="234">
        <v>1</v>
      </c>
      <c r="AK145" s="234">
        <v>1</v>
      </c>
      <c r="AL145" s="234">
        <v>1</v>
      </c>
      <c r="AM145" s="48"/>
      <c r="AN145" s="234">
        <v>1</v>
      </c>
      <c r="AO145" s="24" cm="1">
        <f t="array" ref="AO145">SUM(AI145:AN145)</f>
        <v>4</v>
      </c>
      <c r="AP145" s="19"/>
      <c r="AQ145" s="19"/>
    </row>
    <row r="146" ht="29.2" customHeight="1">
      <c r="AH146" t="s" s="172">
        <v>46</v>
      </c>
      <c r="AI146" s="55"/>
      <c r="AJ146" s="234">
        <v>1</v>
      </c>
      <c r="AK146" s="234">
        <v>1</v>
      </c>
      <c r="AL146" s="234">
        <v>1</v>
      </c>
      <c r="AM146" s="48"/>
      <c r="AN146" s="234">
        <v>1</v>
      </c>
      <c r="AO146" s="24" cm="1">
        <f t="array" ref="AO146">SUM(AI146:AN146)</f>
        <v>4</v>
      </c>
      <c r="AP146" s="19"/>
      <c r="AQ146" s="19"/>
    </row>
    <row r="147" ht="25.2" customHeight="1">
      <c r="AH147" t="s" s="172">
        <v>191</v>
      </c>
      <c r="AI147" s="55"/>
      <c r="AJ147" s="234">
        <v>1</v>
      </c>
      <c r="AK147" s="234">
        <v>1</v>
      </c>
      <c r="AL147" s="19"/>
      <c r="AM147" s="234">
        <v>1</v>
      </c>
      <c r="AN147" s="48"/>
      <c r="AO147" s="24" cm="1">
        <f t="array" ref="AO147">SUM(AI147:AN147)</f>
        <v>3</v>
      </c>
      <c r="AP147" s="19"/>
      <c r="AQ147" s="19"/>
    </row>
    <row r="148" ht="29.2" customHeight="1">
      <c r="AH148" t="s" s="11">
        <v>154</v>
      </c>
      <c r="AI148" s="233">
        <v>1</v>
      </c>
      <c r="AJ148" s="19"/>
      <c r="AK148" s="19"/>
      <c r="AL148" s="19"/>
      <c r="AM148" s="48"/>
      <c r="AN148" s="48"/>
      <c r="AO148" s="24" cm="1">
        <f t="array" ref="AO148">SUM(AI148:AN148)</f>
        <v>1</v>
      </c>
      <c r="AP148" s="19"/>
      <c r="AQ148" s="19"/>
    </row>
    <row r="149" ht="29.2" customHeight="1">
      <c r="AH149" t="s" s="11">
        <v>155</v>
      </c>
      <c r="AI149" s="233">
        <v>1</v>
      </c>
      <c r="AJ149" s="234">
        <v>1</v>
      </c>
      <c r="AK149" s="234">
        <v>1</v>
      </c>
      <c r="AL149" s="234">
        <v>1</v>
      </c>
      <c r="AM149" s="234">
        <v>1</v>
      </c>
      <c r="AN149" s="48"/>
      <c r="AO149" s="24" cm="1">
        <f t="array" ref="AO149">SUM(AI149:AN149)</f>
        <v>5</v>
      </c>
      <c r="AP149" s="19"/>
      <c r="AQ149" s="19"/>
    </row>
    <row r="150" ht="29.2" customHeight="1">
      <c r="AH150" t="s" s="11">
        <v>19</v>
      </c>
      <c r="AI150" s="18"/>
      <c r="AJ150" s="19"/>
      <c r="AK150" s="19"/>
      <c r="AL150" s="19"/>
      <c r="AM150" s="48"/>
      <c r="AN150" s="48"/>
      <c r="AO150" s="24" cm="1">
        <f t="array" ref="AO150">SUM(AI150:AN150)</f>
        <v>0</v>
      </c>
      <c r="AP150" s="19"/>
      <c r="AQ150" s="19"/>
    </row>
    <row r="151" ht="29.2" customHeight="1">
      <c r="AH151" t="s" s="95">
        <v>35</v>
      </c>
      <c r="AI151" s="55"/>
      <c r="AJ151" s="19"/>
      <c r="AK151" s="19"/>
      <c r="AL151" s="19"/>
      <c r="AM151" s="48"/>
      <c r="AN151" s="48"/>
      <c r="AO151" s="24" cm="1">
        <f t="array" ref="AO151">SUM(AI151:AN151)</f>
        <v>0</v>
      </c>
      <c r="AP151" s="19"/>
      <c r="AQ151" s="19"/>
    </row>
    <row r="152" ht="29.2" customHeight="1">
      <c r="AH152" t="s" s="95">
        <v>10</v>
      </c>
      <c r="AI152" s="55"/>
      <c r="AJ152" s="19"/>
      <c r="AK152" s="235">
        <v>1</v>
      </c>
      <c r="AL152" s="235">
        <v>1</v>
      </c>
      <c r="AM152" s="48"/>
      <c r="AN152" s="235">
        <v>1</v>
      </c>
      <c r="AO152" s="24" cm="1">
        <f t="array" ref="AO152">SUM(AI152:AN152)</f>
        <v>3</v>
      </c>
      <c r="AP152" s="19"/>
      <c r="AQ152" s="19"/>
    </row>
    <row r="153" ht="29.2" customHeight="1">
      <c r="AH153" t="s" s="95">
        <v>37</v>
      </c>
      <c r="AI153" s="236">
        <v>1</v>
      </c>
      <c r="AJ153" s="19"/>
      <c r="AK153" s="19"/>
      <c r="AL153" s="19"/>
      <c r="AM153" s="48"/>
      <c r="AN153" s="48"/>
      <c r="AO153" s="24" cm="1">
        <f t="array" ref="AO153">SUM(AI153:AN153)</f>
        <v>1</v>
      </c>
      <c r="AP153" s="19"/>
      <c r="AQ153" s="19"/>
    </row>
    <row r="154" ht="29.2" customHeight="1">
      <c r="AH154" t="s" s="11">
        <v>32</v>
      </c>
      <c r="AI154" s="55"/>
      <c r="AJ154" s="19"/>
      <c r="AK154" s="19"/>
      <c r="AL154" s="19"/>
      <c r="AM154" s="234">
        <v>1</v>
      </c>
      <c r="AN154" s="48"/>
      <c r="AO154" s="24" cm="1">
        <f t="array" ref="AO154">SUM(AI154:AN154)</f>
        <v>1</v>
      </c>
      <c r="AP154" s="19"/>
      <c r="AQ154" s="19"/>
    </row>
    <row r="155" ht="29.2" customHeight="1">
      <c r="AH155" t="s" s="32">
        <v>47</v>
      </c>
      <c r="AI155" s="233">
        <v>1</v>
      </c>
      <c r="AJ155" s="19"/>
      <c r="AK155" s="234">
        <v>1</v>
      </c>
      <c r="AL155" s="19"/>
      <c r="AM155" s="234">
        <v>1</v>
      </c>
      <c r="AN155" s="234">
        <v>1</v>
      </c>
      <c r="AO155" s="24" cm="1">
        <f t="array" ref="AO155">SUM(AI155:AN155)</f>
        <v>4</v>
      </c>
      <c r="AP155" s="19"/>
      <c r="AQ155" s="19"/>
    </row>
    <row r="156" ht="29.2" customHeight="1">
      <c r="AH156" t="s" s="32">
        <v>274</v>
      </c>
      <c r="AI156" s="55"/>
      <c r="AJ156" s="48"/>
      <c r="AK156" s="48"/>
      <c r="AL156" s="48"/>
      <c r="AM156" s="48"/>
      <c r="AN156" s="48"/>
      <c r="AO156" s="24" cm="1">
        <f t="array" ref="AO156">SUM(AI156:AN156)</f>
        <v>0</v>
      </c>
      <c r="AP156" s="19"/>
      <c r="AQ156" s="19"/>
    </row>
    <row r="157" ht="29.2" customHeight="1">
      <c r="AH157" t="s" s="32">
        <v>48</v>
      </c>
      <c r="AI157" s="55"/>
      <c r="AJ157" s="19"/>
      <c r="AK157" s="19"/>
      <c r="AL157" s="19"/>
      <c r="AM157" s="48"/>
      <c r="AN157" s="48"/>
      <c r="AO157" s="24" cm="1">
        <f t="array" ref="AO157">SUM(AI157:AN157)</f>
        <v>0</v>
      </c>
      <c r="AP157" s="19"/>
      <c r="AQ157" s="19"/>
    </row>
    <row r="158" ht="29.2" customHeight="1">
      <c r="AH158" t="s" s="32">
        <v>49</v>
      </c>
      <c r="AI158" s="55"/>
      <c r="AJ158" s="19"/>
      <c r="AK158" s="19"/>
      <c r="AL158" s="19"/>
      <c r="AM158" s="48"/>
      <c r="AN158" s="48"/>
      <c r="AO158" s="24" cm="1">
        <f t="array" ref="AO158">SUM(AI158:AN158)</f>
        <v>0</v>
      </c>
      <c r="AP158" s="48"/>
      <c r="AQ158" s="48"/>
    </row>
    <row r="159" ht="27.2" customHeight="1">
      <c r="AH159" t="s" s="32">
        <v>50</v>
      </c>
      <c r="AI159" s="55"/>
      <c r="AJ159" s="19"/>
      <c r="AK159" s="19"/>
      <c r="AL159" s="19"/>
      <c r="AM159" s="48"/>
      <c r="AN159" s="234">
        <v>1</v>
      </c>
      <c r="AO159" s="24" cm="1">
        <f t="array" ref="AO159">SUM(AI159:AN159)</f>
        <v>1</v>
      </c>
      <c r="AP159" s="48"/>
      <c r="AQ159" s="48"/>
    </row>
    <row r="160" ht="29.2" customHeight="1">
      <c r="AH160" t="s" s="32">
        <v>51</v>
      </c>
      <c r="AI160" s="55"/>
      <c r="AJ160" s="19"/>
      <c r="AK160" s="19"/>
      <c r="AL160" s="19"/>
      <c r="AM160" s="48"/>
      <c r="AN160" s="48"/>
      <c r="AO160" s="24" cm="1">
        <f t="array" ref="AO160">SUM(AI160:AN160)</f>
        <v>0</v>
      </c>
      <c r="AP160" s="48"/>
      <c r="AQ160" s="48"/>
    </row>
    <row r="161" ht="29.2" customHeight="1">
      <c r="AH161" t="s" s="32">
        <v>52</v>
      </c>
      <c r="AI161" s="55"/>
      <c r="AJ161" s="19"/>
      <c r="AK161" s="19"/>
      <c r="AL161" s="19"/>
      <c r="AM161" s="48"/>
      <c r="AN161" s="48"/>
      <c r="AO161" s="24" cm="1">
        <f t="array" ref="AO161">SUM(AI161:AN161)</f>
        <v>0</v>
      </c>
      <c r="AP161" s="19"/>
      <c r="AQ161" s="19"/>
    </row>
    <row r="162" ht="29.2" customHeight="1">
      <c r="AH162" t="s" s="32">
        <v>115</v>
      </c>
      <c r="AI162" s="55"/>
      <c r="AJ162" s="19"/>
      <c r="AK162" s="237">
        <v>1</v>
      </c>
      <c r="AL162" s="19"/>
      <c r="AM162" s="48"/>
      <c r="AN162" s="48"/>
      <c r="AO162" s="24" cm="1">
        <f t="array" ref="AO162">SUM(AI162:AN162)</f>
        <v>1</v>
      </c>
      <c r="AP162" s="24">
        <v>1</v>
      </c>
      <c r="AQ162" s="19"/>
    </row>
    <row r="163" ht="29.2" customHeight="1">
      <c r="AH163" t="s" s="32">
        <v>197</v>
      </c>
      <c r="AI163" s="55"/>
      <c r="AJ163" s="19"/>
      <c r="AK163" s="19"/>
      <c r="AL163" s="19"/>
      <c r="AM163" s="48"/>
      <c r="AN163" s="48"/>
      <c r="AO163" s="24" cm="1">
        <f t="array" ref="AO163">SUM(AI163:AN163)</f>
        <v>0</v>
      </c>
      <c r="AP163" s="19"/>
      <c r="AQ163" s="19"/>
    </row>
    <row r="164" ht="29.2" customHeight="1">
      <c r="AH164" t="s" s="32">
        <v>156</v>
      </c>
      <c r="AI164" s="233">
        <v>1</v>
      </c>
      <c r="AJ164" s="19"/>
      <c r="AK164" s="234">
        <v>1</v>
      </c>
      <c r="AL164" s="234">
        <v>1</v>
      </c>
      <c r="AM164" s="234">
        <v>1</v>
      </c>
      <c r="AN164" s="48"/>
      <c r="AO164" s="24" cm="1">
        <f t="array" ref="AO164">SUM(AI164:AN164)</f>
        <v>4</v>
      </c>
      <c r="AP164" s="19"/>
      <c r="AQ164" s="19"/>
    </row>
    <row r="165" ht="29.2" customHeight="1">
      <c r="AH165" t="s" s="32">
        <v>239</v>
      </c>
      <c r="AI165" s="55"/>
      <c r="AJ165" s="19"/>
      <c r="AK165" s="234">
        <v>1</v>
      </c>
      <c r="AL165" s="19"/>
      <c r="AM165" s="48"/>
      <c r="AN165" s="48"/>
      <c r="AO165" s="24" cm="1">
        <f t="array" ref="AO165">SUM(AI165:AN165)</f>
        <v>1</v>
      </c>
      <c r="AP165" s="19"/>
      <c r="AQ165" s="19"/>
    </row>
    <row r="166" ht="29.2" customHeight="1">
      <c r="AH166" t="s" s="32">
        <v>242</v>
      </c>
      <c r="AI166" s="55"/>
      <c r="AJ166" s="19"/>
      <c r="AK166" s="234">
        <v>1</v>
      </c>
      <c r="AL166" s="234">
        <v>1</v>
      </c>
      <c r="AM166" s="234">
        <v>1</v>
      </c>
      <c r="AN166" s="48"/>
      <c r="AO166" s="24" cm="1">
        <f t="array" ref="AO166">SUM(AI166:AN166)</f>
        <v>3</v>
      </c>
      <c r="AP166" s="19"/>
      <c r="AQ166" s="19"/>
    </row>
    <row r="167" ht="29.2" customHeight="1">
      <c r="AH167" t="s" s="32">
        <v>244</v>
      </c>
      <c r="AI167" s="55"/>
      <c r="AJ167" s="19"/>
      <c r="AK167" s="48"/>
      <c r="AL167" s="48"/>
      <c r="AM167" s="48"/>
      <c r="AN167" s="48"/>
      <c r="AO167" s="24" cm="1">
        <f t="array" ref="AO167">SUM(AI167:AN167)</f>
        <v>0</v>
      </c>
      <c r="AP167" s="19"/>
      <c r="AQ167" s="19"/>
    </row>
    <row r="168" ht="29.2" customHeight="1">
      <c r="AH168" t="s" s="32">
        <v>250</v>
      </c>
      <c r="AI168" s="55"/>
      <c r="AJ168" s="19"/>
      <c r="AK168" s="48"/>
      <c r="AL168" s="48"/>
      <c r="AM168" s="48"/>
      <c r="AN168" s="48"/>
      <c r="AO168" s="24" cm="1">
        <f t="array" ref="AO168">SUM(AI168:AN168)</f>
        <v>0</v>
      </c>
      <c r="AP168" s="19"/>
      <c r="AQ168" s="19"/>
    </row>
    <row r="169" ht="29.2" customHeight="1">
      <c r="AH169" t="s" s="32">
        <v>319</v>
      </c>
      <c r="AI169" s="55"/>
      <c r="AJ169" s="19"/>
      <c r="AK169" s="48"/>
      <c r="AL169" s="48"/>
      <c r="AM169" s="48"/>
      <c r="AN169" s="48"/>
      <c r="AO169" s="24" cm="1">
        <f t="array" ref="AO169">SUM(AI169:AN169)</f>
        <v>0</v>
      </c>
      <c r="AP169" s="19"/>
      <c r="AQ169" s="19"/>
    </row>
    <row r="170" ht="29.2" customHeight="1">
      <c r="AH170" t="s" s="32">
        <v>292</v>
      </c>
      <c r="AI170" s="55"/>
      <c r="AJ170" s="19"/>
      <c r="AK170" s="48"/>
      <c r="AL170" s="48"/>
      <c r="AM170" s="48"/>
      <c r="AN170" s="48"/>
      <c r="AO170" s="24" cm="1">
        <f t="array" ref="AO170">SUM(AI170:AN170)</f>
        <v>0</v>
      </c>
      <c r="AP170" s="19"/>
      <c r="AQ170" s="19"/>
    </row>
    <row r="171" ht="29.2" customHeight="1">
      <c r="AH171" t="s" s="32">
        <v>257</v>
      </c>
      <c r="AI171" s="55"/>
      <c r="AJ171" s="19"/>
      <c r="AK171" s="48"/>
      <c r="AL171" s="48"/>
      <c r="AM171" s="48"/>
      <c r="AN171" s="48"/>
      <c r="AO171" s="24" cm="1">
        <f t="array" ref="AO171">SUM(AI171:AN171)</f>
        <v>0</v>
      </c>
      <c r="AP171" s="19"/>
      <c r="AQ171" s="19"/>
    </row>
    <row r="172" ht="29.2" customHeight="1">
      <c r="AH172" t="s" s="32">
        <v>259</v>
      </c>
      <c r="AI172" s="55"/>
      <c r="AJ172" s="19"/>
      <c r="AK172" s="48"/>
      <c r="AL172" s="48"/>
      <c r="AM172" s="48"/>
      <c r="AN172" s="48"/>
      <c r="AO172" s="24" cm="1">
        <f t="array" ref="AO172">SUM(AI172:AN172)</f>
        <v>0</v>
      </c>
      <c r="AP172" s="19"/>
      <c r="AQ172" s="19"/>
    </row>
    <row r="173" ht="29.2" customHeight="1">
      <c r="AH173" t="s" s="32">
        <v>262</v>
      </c>
      <c r="AI173" s="55"/>
      <c r="AJ173" s="19"/>
      <c r="AK173" s="48"/>
      <c r="AL173" s="48"/>
      <c r="AM173" s="48"/>
      <c r="AN173" s="48"/>
      <c r="AO173" s="24" cm="1">
        <f t="array" ref="AO173">SUM(AI173:AN173)</f>
        <v>0</v>
      </c>
      <c r="AP173" s="19"/>
      <c r="AQ173" s="19"/>
    </row>
    <row r="174" ht="29.2" customHeight="1">
      <c r="AH174" t="s" s="32">
        <v>265</v>
      </c>
      <c r="AI174" s="55"/>
      <c r="AJ174" s="19"/>
      <c r="AK174" s="48"/>
      <c r="AL174" s="48"/>
      <c r="AM174" s="48"/>
      <c r="AN174" s="48"/>
      <c r="AO174" s="24" cm="1">
        <f t="array" ref="AO174">SUM(AI174:AN174)</f>
        <v>0</v>
      </c>
      <c r="AP174" s="19"/>
      <c r="AQ174" s="19"/>
    </row>
    <row r="175" ht="29.2" customHeight="1">
      <c r="AH175" t="s" s="32">
        <v>268</v>
      </c>
      <c r="AI175" s="55"/>
      <c r="AJ175" s="19"/>
      <c r="AK175" s="48"/>
      <c r="AL175" s="48"/>
      <c r="AM175" s="48"/>
      <c r="AN175" s="48"/>
      <c r="AO175" s="24" cm="1">
        <f t="array" ref="AO175">SUM(AI175:AN175)</f>
        <v>0</v>
      </c>
      <c r="AP175" s="19"/>
      <c r="AQ175" s="19"/>
    </row>
    <row r="176" ht="29.2" customHeight="1">
      <c r="AH176" t="s" s="32">
        <v>270</v>
      </c>
      <c r="AI176" s="55"/>
      <c r="AJ176" s="19"/>
      <c r="AK176" s="48"/>
      <c r="AL176" s="48"/>
      <c r="AM176" s="48"/>
      <c r="AN176" s="48"/>
      <c r="AO176" s="24" cm="1">
        <f t="array" ref="AO176">SUM(AI176:AN176)</f>
        <v>0</v>
      </c>
      <c r="AP176" s="19"/>
      <c r="AQ176" s="19"/>
    </row>
    <row r="177" ht="29.2" customHeight="1">
      <c r="AH177" t="s" s="32">
        <v>272</v>
      </c>
      <c r="AI177" s="55"/>
      <c r="AJ177" s="19"/>
      <c r="AK177" s="48"/>
      <c r="AL177" s="48"/>
      <c r="AM177" s="48"/>
      <c r="AN177" s="48"/>
      <c r="AO177" s="24" cm="1">
        <f t="array" ref="AO177">SUM(AI177:AN177)</f>
        <v>0</v>
      </c>
      <c r="AP177" s="19"/>
      <c r="AQ177" s="19"/>
    </row>
    <row r="178" ht="29.2" customHeight="1">
      <c r="AH178" t="s" s="32">
        <v>102</v>
      </c>
      <c r="AI178" s="38">
        <v>2</v>
      </c>
      <c r="AJ178" s="19"/>
      <c r="AK178" s="40">
        <v>1</v>
      </c>
      <c r="AL178" s="19"/>
      <c r="AM178" s="48"/>
      <c r="AN178" s="48"/>
      <c r="AO178" s="24" cm="1">
        <f t="array" ref="AO178">SUM(AI178:AN178)</f>
        <v>3</v>
      </c>
      <c r="AP178" s="19"/>
      <c r="AQ178" s="19"/>
    </row>
    <row r="179" ht="29.2" customHeight="1">
      <c r="AH179" t="s" s="49">
        <v>30</v>
      </c>
      <c r="AI179" s="12" cm="1">
        <f t="array" ref="AI179">SUM(AI140:AI178)</f>
        <v>9</v>
      </c>
      <c r="AJ179" s="24" cm="1">
        <f t="array" ref="AJ179">SUM(AJ140:AJ178)</f>
        <v>5</v>
      </c>
      <c r="AK179" s="24" cm="1">
        <f t="array" ref="AK179">SUM(AK140:AK178)</f>
        <v>12</v>
      </c>
      <c r="AL179" s="24" cm="1">
        <f t="array" ref="AL179">SUM(AL140:AL178)</f>
        <v>9</v>
      </c>
      <c r="AM179" s="24" cm="1">
        <f t="array" ref="AM179">SUM(AM140:AM178)</f>
        <v>6</v>
      </c>
      <c r="AN179" s="24" cm="1">
        <f t="array" ref="AN179">SUM(AN140:AN178)</f>
        <v>6</v>
      </c>
      <c r="AO179" s="24" cm="1">
        <f t="array" ref="AO179">SUM(AO140:AO178)</f>
        <v>47</v>
      </c>
      <c r="AP179" s="19"/>
      <c r="AQ179" s="19"/>
    </row>
    <row r="181" ht="27.65" customHeight="1">
      <c r="AR181" t="s" s="2">
        <v>83</v>
      </c>
      <c r="AS181" s="2"/>
      <c r="AT181" s="2"/>
      <c r="AU181" s="2"/>
      <c r="AV181" s="2"/>
      <c r="AW181" s="2"/>
      <c r="AX181" s="2"/>
      <c r="AY181" s="2"/>
      <c r="AZ181" s="2"/>
      <c r="BA181" s="2"/>
    </row>
    <row r="182" ht="42.9" customHeight="1">
      <c r="AR182" s="35"/>
      <c r="AS182" t="s" s="3">
        <v>327</v>
      </c>
      <c r="AT182" t="s" s="3">
        <v>328</v>
      </c>
      <c r="AU182" t="s" s="3">
        <v>329</v>
      </c>
      <c r="AV182" t="s" s="3">
        <v>330</v>
      </c>
      <c r="AW182" t="s" s="3">
        <v>331</v>
      </c>
      <c r="AX182" t="s" s="3">
        <v>332</v>
      </c>
      <c r="AY182" t="s" s="3">
        <v>67</v>
      </c>
      <c r="AZ182" t="s" s="3">
        <v>68</v>
      </c>
      <c r="BA182" t="s" s="3">
        <v>69</v>
      </c>
    </row>
    <row r="183" ht="26.95" customHeight="1">
      <c r="AR183" t="s" s="6">
        <v>16</v>
      </c>
      <c r="AS183" s="136"/>
      <c r="AT183" s="123"/>
      <c r="AU183" s="123"/>
      <c r="AV183" s="123"/>
      <c r="AW183" s="123"/>
      <c r="AX183" s="123"/>
      <c r="AY183" s="123"/>
      <c r="AZ183" s="123"/>
      <c r="BA183" s="37"/>
    </row>
    <row r="184" ht="26.7" customHeight="1">
      <c r="AR184" t="s" s="11">
        <v>18</v>
      </c>
      <c r="AS184" s="55"/>
      <c r="AT184" s="48"/>
      <c r="AU184" s="48"/>
      <c r="AV184" s="48"/>
      <c r="AW184" s="48"/>
      <c r="AX184" s="48"/>
      <c r="AY184" s="48"/>
      <c r="AZ184" s="48"/>
      <c r="BA184" s="19"/>
    </row>
    <row r="185" ht="26.7" customHeight="1">
      <c r="AR185" t="s" s="11">
        <v>287</v>
      </c>
      <c r="AS185" s="55"/>
      <c r="AT185" s="48"/>
      <c r="AU185" s="48"/>
      <c r="AV185" s="48"/>
      <c r="AW185" s="48"/>
      <c r="AX185" s="48"/>
      <c r="AY185" s="48"/>
      <c r="AZ185" s="48"/>
      <c r="BA185" s="19"/>
    </row>
    <row r="186" ht="26.7" customHeight="1">
      <c r="AR186" t="s" s="11">
        <v>27</v>
      </c>
      <c r="AS186" s="55"/>
      <c r="AT186" s="48"/>
      <c r="AU186" s="48"/>
      <c r="AV186" s="48"/>
      <c r="AW186" s="48"/>
      <c r="AX186" s="48"/>
      <c r="AY186" s="48"/>
      <c r="AZ186" s="48"/>
      <c r="BA186" s="19"/>
    </row>
    <row r="187" ht="26.7" customHeight="1">
      <c r="AR187" t="s" s="32">
        <v>109</v>
      </c>
      <c r="AS187" s="55"/>
      <c r="AT187" s="48"/>
      <c r="AU187" s="48"/>
      <c r="AV187" s="48"/>
      <c r="AW187" s="48"/>
      <c r="AX187" s="48"/>
      <c r="AY187" s="48"/>
      <c r="AZ187" s="48"/>
      <c r="BA187" s="19"/>
    </row>
    <row r="188" ht="30.4" customHeight="1">
      <c r="AR188" t="s" s="11">
        <v>45</v>
      </c>
      <c r="AS188" s="55"/>
      <c r="AT188" s="48"/>
      <c r="AU188" s="48"/>
      <c r="AV188" s="48"/>
      <c r="AW188" s="48"/>
      <c r="AX188" s="48"/>
      <c r="AY188" s="48"/>
      <c r="AZ188" s="48"/>
      <c r="BA188" s="19"/>
    </row>
    <row r="189" ht="26.7" customHeight="1">
      <c r="AR189" t="s" s="11">
        <v>154</v>
      </c>
      <c r="AS189" s="55"/>
      <c r="AT189" s="48"/>
      <c r="AU189" s="48"/>
      <c r="AV189" s="48"/>
      <c r="AW189" s="48"/>
      <c r="AX189" s="48"/>
      <c r="AY189" s="48"/>
      <c r="AZ189" s="48"/>
      <c r="BA189" s="19"/>
    </row>
    <row r="190" ht="26.7" customHeight="1">
      <c r="AR190" t="s" s="11">
        <v>155</v>
      </c>
      <c r="AS190" s="55"/>
      <c r="AT190" s="48"/>
      <c r="AU190" s="48"/>
      <c r="AV190" s="48"/>
      <c r="AW190" s="48"/>
      <c r="AX190" s="48"/>
      <c r="AY190" s="48"/>
      <c r="AZ190" s="48"/>
      <c r="BA190" s="19"/>
    </row>
    <row r="191" ht="26.7" customHeight="1">
      <c r="AR191" t="s" s="11">
        <v>19</v>
      </c>
      <c r="AS191" s="55"/>
      <c r="AT191" s="48"/>
      <c r="AU191" s="48"/>
      <c r="AV191" s="48"/>
      <c r="AW191" s="48"/>
      <c r="AX191" s="48"/>
      <c r="AY191" s="48"/>
      <c r="AZ191" s="48"/>
      <c r="BA191" s="19"/>
    </row>
    <row r="192" ht="26.7" customHeight="1">
      <c r="AR192" t="s" s="95">
        <v>35</v>
      </c>
      <c r="AS192" s="55"/>
      <c r="AT192" s="48"/>
      <c r="AU192" s="48"/>
      <c r="AV192" s="48"/>
      <c r="AW192" s="48"/>
      <c r="AX192" s="48"/>
      <c r="AY192" s="78"/>
      <c r="AZ192" s="78"/>
      <c r="BA192" s="27"/>
    </row>
    <row r="193" ht="26.7" customHeight="1">
      <c r="AR193" t="s" s="95">
        <v>10</v>
      </c>
      <c r="AS193" s="55"/>
      <c r="AT193" s="48"/>
      <c r="AU193" s="48"/>
      <c r="AV193" s="48"/>
      <c r="AW193" s="48"/>
      <c r="AX193" s="48"/>
      <c r="AY193" s="48"/>
      <c r="AZ193" s="48"/>
      <c r="BA193" s="19"/>
    </row>
    <row r="194" ht="26.7" customHeight="1">
      <c r="AR194" t="s" s="95">
        <v>37</v>
      </c>
      <c r="AS194" s="55"/>
      <c r="AT194" s="48"/>
      <c r="AU194" s="48"/>
      <c r="AV194" s="48"/>
      <c r="AW194" s="48"/>
      <c r="AX194" s="48"/>
      <c r="AY194" s="48"/>
      <c r="AZ194" s="48"/>
      <c r="BA194" s="19"/>
    </row>
    <row r="195" ht="26.7" customHeight="1">
      <c r="AR195" t="s" s="11">
        <v>32</v>
      </c>
      <c r="AS195" s="55"/>
      <c r="AT195" s="48"/>
      <c r="AU195" s="48"/>
      <c r="AV195" s="48"/>
      <c r="AW195" s="48"/>
      <c r="AX195" s="48"/>
      <c r="AY195" s="48"/>
      <c r="AZ195" s="48"/>
      <c r="BA195" s="19"/>
    </row>
    <row r="196" ht="26.7" customHeight="1">
      <c r="AR196" t="s" s="172">
        <v>46</v>
      </c>
      <c r="AS196" s="55"/>
      <c r="AT196" s="48"/>
      <c r="AU196" s="48"/>
      <c r="AV196" s="48"/>
      <c r="AW196" s="48"/>
      <c r="AX196" s="48"/>
      <c r="AY196" s="48"/>
      <c r="AZ196" s="48"/>
      <c r="BA196" s="19"/>
    </row>
    <row r="197" ht="26.7" customHeight="1">
      <c r="AR197" t="s" s="172">
        <v>191</v>
      </c>
      <c r="AS197" s="55"/>
      <c r="AT197" s="48"/>
      <c r="AU197" s="48"/>
      <c r="AV197" s="48"/>
      <c r="AW197" s="48"/>
      <c r="AX197" s="48"/>
      <c r="AY197" s="48"/>
      <c r="AZ197" s="48"/>
      <c r="BA197" s="19"/>
    </row>
    <row r="198" ht="26.7" customHeight="1">
      <c r="AR198" t="s" s="32">
        <v>47</v>
      </c>
      <c r="AS198" s="55"/>
      <c r="AT198" s="48"/>
      <c r="AU198" s="48"/>
      <c r="AV198" s="48"/>
      <c r="AW198" s="48"/>
      <c r="AX198" s="48"/>
      <c r="AY198" s="48"/>
      <c r="AZ198" s="48"/>
      <c r="BA198" s="19"/>
    </row>
    <row r="199" ht="26.7" customHeight="1">
      <c r="AR199" t="s" s="32">
        <v>274</v>
      </c>
      <c r="AS199" s="55"/>
      <c r="AT199" s="48"/>
      <c r="AU199" s="48"/>
      <c r="AV199" s="48"/>
      <c r="AW199" s="48"/>
      <c r="AX199" s="48"/>
      <c r="AY199" s="48"/>
      <c r="AZ199" s="48"/>
      <c r="BA199" s="19"/>
    </row>
    <row r="200" ht="23.35" customHeight="1">
      <c r="AR200" t="s" s="32">
        <v>48</v>
      </c>
      <c r="AS200" s="193">
        <v>1</v>
      </c>
      <c r="AT200" s="48"/>
      <c r="AU200" s="189">
        <v>1</v>
      </c>
      <c r="AV200" s="48"/>
      <c r="AW200" s="48"/>
      <c r="AX200" s="48"/>
      <c r="AY200" s="48"/>
      <c r="AZ200" s="48"/>
      <c r="BA200" s="19"/>
    </row>
    <row r="201" ht="29.35" customHeight="1">
      <c r="AR201" t="s" s="32">
        <v>49</v>
      </c>
      <c r="AS201" s="193">
        <v>1</v>
      </c>
      <c r="AT201" s="48"/>
      <c r="AU201" s="189">
        <v>1</v>
      </c>
      <c r="AV201" s="48"/>
      <c r="AW201" s="48"/>
      <c r="AX201" s="48"/>
      <c r="AY201" s="48"/>
      <c r="AZ201" s="48"/>
      <c r="BA201" s="19"/>
    </row>
    <row r="202" ht="23.35" customHeight="1">
      <c r="AR202" t="s" s="32">
        <v>50</v>
      </c>
      <c r="AS202" s="55"/>
      <c r="AT202" s="48"/>
      <c r="AU202" s="48"/>
      <c r="AV202" s="48"/>
      <c r="AW202" s="48"/>
      <c r="AX202" s="48"/>
      <c r="AY202" s="48"/>
      <c r="AZ202" s="48"/>
      <c r="BA202" s="19"/>
    </row>
    <row r="203" ht="37.35" customHeight="1">
      <c r="AR203" t="s" s="32">
        <v>51</v>
      </c>
      <c r="AS203" s="55"/>
      <c r="AT203" s="48"/>
      <c r="AU203" s="48"/>
      <c r="AV203" s="48"/>
      <c r="AW203" s="48"/>
      <c r="AX203" s="48"/>
      <c r="AY203" s="48"/>
      <c r="AZ203" s="48"/>
      <c r="BA203" s="19"/>
    </row>
    <row r="204" ht="23.35" customHeight="1">
      <c r="AR204" t="s" s="32">
        <v>52</v>
      </c>
      <c r="AS204" s="55"/>
      <c r="AT204" s="48"/>
      <c r="AU204" s="48"/>
      <c r="AV204" s="48"/>
      <c r="AW204" s="48"/>
      <c r="AX204" s="48"/>
      <c r="AY204" s="48"/>
      <c r="AZ204" s="48"/>
      <c r="BA204" s="19"/>
    </row>
    <row r="205" ht="26.7" customHeight="1">
      <c r="AR205" t="s" s="32">
        <v>115</v>
      </c>
      <c r="AS205" s="193">
        <v>1</v>
      </c>
      <c r="AT205" s="48"/>
      <c r="AU205" s="189">
        <v>1</v>
      </c>
      <c r="AV205" s="48"/>
      <c r="AW205" s="48"/>
      <c r="AX205" s="48"/>
      <c r="AY205" s="48"/>
      <c r="AZ205" s="48"/>
      <c r="BA205" s="19"/>
    </row>
    <row r="206" ht="26.7" customHeight="1">
      <c r="AR206" t="s" s="32">
        <v>197</v>
      </c>
      <c r="AS206" s="55"/>
      <c r="AT206" s="48"/>
      <c r="AU206" s="48"/>
      <c r="AV206" s="48"/>
      <c r="AW206" s="48"/>
      <c r="AX206" s="48"/>
      <c r="AY206" s="48"/>
      <c r="AZ206" s="48"/>
      <c r="BA206" s="19"/>
    </row>
    <row r="207" ht="26.7" customHeight="1">
      <c r="AR207" t="s" s="32">
        <v>156</v>
      </c>
      <c r="AS207" s="55"/>
      <c r="AT207" s="48"/>
      <c r="AU207" s="48"/>
      <c r="AV207" s="48"/>
      <c r="AW207" s="48"/>
      <c r="AX207" s="48"/>
      <c r="AY207" s="78"/>
      <c r="AZ207" s="78"/>
      <c r="BA207" s="27"/>
    </row>
    <row r="208" ht="26.7" customHeight="1">
      <c r="AR208" t="s" s="32">
        <v>239</v>
      </c>
      <c r="AS208" s="55"/>
      <c r="AT208" s="48"/>
      <c r="AU208" s="48"/>
      <c r="AV208" s="48"/>
      <c r="AW208" s="48"/>
      <c r="AX208" s="48"/>
      <c r="AY208" s="78"/>
      <c r="AZ208" s="78"/>
      <c r="BA208" s="27"/>
    </row>
    <row r="209" ht="26.7" customHeight="1">
      <c r="AR209" t="s" s="32">
        <v>242</v>
      </c>
      <c r="AS209" s="55"/>
      <c r="AT209" s="48"/>
      <c r="AU209" s="48"/>
      <c r="AV209" s="48"/>
      <c r="AW209" s="48"/>
      <c r="AX209" s="48"/>
      <c r="AY209" s="78"/>
      <c r="AZ209" s="78"/>
      <c r="BA209" s="27"/>
    </row>
    <row r="210" ht="26.7" customHeight="1">
      <c r="AR210" t="s" s="32">
        <v>244</v>
      </c>
      <c r="AS210" s="55"/>
      <c r="AT210" s="48"/>
      <c r="AU210" s="48"/>
      <c r="AV210" s="48"/>
      <c r="AW210" s="48"/>
      <c r="AX210" s="48"/>
      <c r="AY210" s="78"/>
      <c r="AZ210" s="78"/>
      <c r="BA210" s="27"/>
    </row>
    <row r="211" ht="26.7" customHeight="1">
      <c r="AR211" t="s" s="32">
        <v>250</v>
      </c>
      <c r="AS211" s="55"/>
      <c r="AT211" s="48"/>
      <c r="AU211" s="48"/>
      <c r="AV211" s="48"/>
      <c r="AW211" s="48"/>
      <c r="AX211" s="48"/>
      <c r="AY211" s="78"/>
      <c r="AZ211" s="78"/>
      <c r="BA211" s="27"/>
    </row>
    <row r="212" ht="26.7" customHeight="1">
      <c r="AR212" s="206"/>
      <c r="AS212" s="55"/>
      <c r="AT212" s="48"/>
      <c r="AU212" s="48"/>
      <c r="AV212" s="48"/>
      <c r="AW212" s="48"/>
      <c r="AX212" s="48"/>
      <c r="AY212" s="78"/>
      <c r="AZ212" s="78"/>
      <c r="BA212" s="27"/>
    </row>
    <row r="213" ht="26.7" customHeight="1">
      <c r="AR213" t="s" s="32">
        <v>292</v>
      </c>
      <c r="AS213" s="55"/>
      <c r="AT213" s="48"/>
      <c r="AU213" s="48"/>
      <c r="AV213" s="48"/>
      <c r="AW213" s="48"/>
      <c r="AX213" s="48"/>
      <c r="AY213" s="78"/>
      <c r="AZ213" s="78"/>
      <c r="BA213" s="27"/>
    </row>
    <row r="214" ht="26.7" customHeight="1">
      <c r="AR214" t="s" s="32">
        <v>257</v>
      </c>
      <c r="AS214" s="55"/>
      <c r="AT214" s="48"/>
      <c r="AU214" s="48"/>
      <c r="AV214" s="48"/>
      <c r="AW214" s="48"/>
      <c r="AX214" s="48"/>
      <c r="AY214" s="78"/>
      <c r="AZ214" s="78"/>
      <c r="BA214" s="27"/>
    </row>
    <row r="215" ht="26.7" customHeight="1">
      <c r="AR215" t="s" s="32">
        <v>259</v>
      </c>
      <c r="AS215" s="55"/>
      <c r="AT215" s="48"/>
      <c r="AU215" s="48"/>
      <c r="AV215" s="48"/>
      <c r="AW215" s="48"/>
      <c r="AX215" s="48"/>
      <c r="AY215" s="78"/>
      <c r="AZ215" s="78"/>
      <c r="BA215" s="27"/>
    </row>
    <row r="216" ht="26.7" customHeight="1">
      <c r="AR216" t="s" s="32">
        <v>262</v>
      </c>
      <c r="AS216" s="55"/>
      <c r="AT216" s="48"/>
      <c r="AU216" s="48"/>
      <c r="AV216" s="48"/>
      <c r="AW216" s="48"/>
      <c r="AX216" s="48"/>
      <c r="AY216" s="78"/>
      <c r="AZ216" s="78"/>
      <c r="BA216" s="27"/>
    </row>
    <row r="217" ht="26.7" customHeight="1">
      <c r="AR217" t="s" s="32">
        <v>265</v>
      </c>
      <c r="AS217" s="55"/>
      <c r="AT217" s="48"/>
      <c r="AU217" s="48"/>
      <c r="AV217" s="48"/>
      <c r="AW217" s="48"/>
      <c r="AX217" s="48"/>
      <c r="AY217" s="78"/>
      <c r="AZ217" s="78"/>
      <c r="BA217" s="27"/>
    </row>
    <row r="218" ht="26.7" customHeight="1">
      <c r="AR218" t="s" s="32">
        <v>268</v>
      </c>
      <c r="AS218" s="55"/>
      <c r="AT218" s="48"/>
      <c r="AU218" s="48"/>
      <c r="AV218" s="48"/>
      <c r="AW218" s="48"/>
      <c r="AX218" s="48"/>
      <c r="AY218" s="78"/>
      <c r="AZ218" s="78"/>
      <c r="BA218" s="27"/>
    </row>
    <row r="219" ht="26.7" customHeight="1">
      <c r="AR219" t="s" s="32">
        <v>270</v>
      </c>
      <c r="AS219" s="55"/>
      <c r="AT219" s="48"/>
      <c r="AU219" s="48"/>
      <c r="AV219" s="48"/>
      <c r="AW219" s="48"/>
      <c r="AX219" s="48"/>
      <c r="AY219" s="78"/>
      <c r="AZ219" s="78"/>
      <c r="BA219" s="27"/>
    </row>
    <row r="220" ht="26.7" customHeight="1">
      <c r="AR220" t="s" s="32">
        <v>272</v>
      </c>
      <c r="AS220" s="55"/>
      <c r="AT220" s="48"/>
      <c r="AU220" s="48"/>
      <c r="AV220" s="48"/>
      <c r="AW220" s="48"/>
      <c r="AX220" s="48"/>
      <c r="AY220" s="78"/>
      <c r="AZ220" s="78"/>
      <c r="BA220" s="27"/>
    </row>
    <row r="221" ht="23.75" customHeight="1">
      <c r="AR221" t="s" s="32">
        <v>102</v>
      </c>
      <c r="AS221" s="55"/>
      <c r="AT221" s="48"/>
      <c r="AU221" s="48"/>
      <c r="AV221" s="48"/>
      <c r="AW221" s="48"/>
      <c r="AX221" s="48"/>
      <c r="AY221" s="19"/>
      <c r="AZ221" s="19"/>
      <c r="BA221" s="128"/>
    </row>
    <row r="222" ht="23.75" customHeight="1">
      <c r="AR222" t="s" s="49">
        <v>30</v>
      </c>
      <c r="AS222" s="12" cm="1">
        <f t="array" ref="AS222">SUM(AS183:AS221)</f>
        <v>3</v>
      </c>
      <c r="AT222" s="24" cm="1">
        <f t="array" ref="AT222">SUM(AT183:AT221)</f>
        <v>0</v>
      </c>
      <c r="AU222" s="24" cm="1">
        <f t="array" ref="AU222">SUM(AU183:AU221)</f>
        <v>3</v>
      </c>
      <c r="AV222" s="24" cm="1">
        <f t="array" ref="AV222">SUM(AV183:AV221)</f>
        <v>0</v>
      </c>
      <c r="AW222" s="24" cm="1">
        <f t="array" ref="AW222">SUM(AW183:AW221)</f>
        <v>0</v>
      </c>
      <c r="AX222" s="24" cm="1">
        <f t="array" ref="AX222">SUM(AX183:AX221)</f>
        <v>0</v>
      </c>
      <c r="AY222" s="24" cm="1">
        <f t="array" ref="AY222">SUM(AS222:AX222)</f>
        <v>6</v>
      </c>
      <c r="AZ222" s="24" cm="1">
        <f t="array" ref="AZ222">SUM(AZ183:AZ221)</f>
        <v>0</v>
      </c>
      <c r="BA222" s="24" cm="1">
        <f t="array" ref="BA222">SUM(BA183:BA221)</f>
        <v>0</v>
      </c>
    </row>
    <row r="224" ht="27.65" customHeight="1">
      <c r="BB224" t="s" s="2">
        <v>76</v>
      </c>
      <c r="BC224" s="2"/>
      <c r="BD224" s="2"/>
      <c r="BE224" s="2"/>
      <c r="BF224" s="2"/>
      <c r="BG224" s="2"/>
      <c r="BH224" s="2"/>
      <c r="BI224" s="2"/>
      <c r="BJ224" s="2"/>
      <c r="BK224" s="2"/>
    </row>
    <row r="225" ht="42.65" customHeight="1">
      <c r="BB225" s="35"/>
      <c r="BC225" t="s" s="3">
        <v>327</v>
      </c>
      <c r="BD225" t="s" s="3">
        <v>328</v>
      </c>
      <c r="BE225" t="s" s="3">
        <v>329</v>
      </c>
      <c r="BF225" t="s" s="3">
        <v>330</v>
      </c>
      <c r="BG225" t="s" s="3">
        <v>331</v>
      </c>
      <c r="BH225" t="s" s="3">
        <v>332</v>
      </c>
      <c r="BI225" t="s" s="3">
        <v>53</v>
      </c>
      <c r="BJ225" t="s" s="3">
        <v>67</v>
      </c>
      <c r="BK225" t="s" s="3">
        <v>160</v>
      </c>
    </row>
    <row r="226" ht="26.8" customHeight="1">
      <c r="BB226" t="s" s="6">
        <v>16</v>
      </c>
      <c r="BC226" s="136"/>
      <c r="BD226" s="232">
        <v>1</v>
      </c>
      <c r="BE226" s="232">
        <v>1</v>
      </c>
      <c r="BF226" s="232">
        <v>1</v>
      </c>
      <c r="BG226" s="232">
        <v>1</v>
      </c>
      <c r="BH226" s="232">
        <v>1</v>
      </c>
      <c r="BI226" s="47" cm="1">
        <f t="array" ref="BI226">SUM(BC226:BH226)</f>
        <v>5</v>
      </c>
      <c r="BJ226" s="37"/>
      <c r="BK226" s="37"/>
    </row>
    <row r="227" ht="26.55" customHeight="1">
      <c r="BB227" t="s" s="11">
        <v>18</v>
      </c>
      <c r="BC227" s="55"/>
      <c r="BD227" s="48"/>
      <c r="BE227" s="48"/>
      <c r="BF227" s="48"/>
      <c r="BG227" s="48"/>
      <c r="BH227" s="48"/>
      <c r="BI227" s="24" cm="1">
        <f t="array" ref="BI227">SUM(BC227:BH227)</f>
        <v>0</v>
      </c>
      <c r="BJ227" s="19"/>
      <c r="BK227" s="19"/>
    </row>
    <row r="228" ht="26.55" customHeight="1">
      <c r="BB228" t="s" s="11">
        <v>287</v>
      </c>
      <c r="BC228" s="233">
        <v>1</v>
      </c>
      <c r="BD228" s="48"/>
      <c r="BE228" s="48"/>
      <c r="BF228" s="48"/>
      <c r="BG228" s="48"/>
      <c r="BH228" s="48"/>
      <c r="BI228" s="24" cm="1">
        <f t="array" ref="BI228">SUM(BC228:BH228)</f>
        <v>1</v>
      </c>
      <c r="BJ228" s="19"/>
      <c r="BK228" s="19"/>
    </row>
    <row r="229" ht="26.55" customHeight="1">
      <c r="BB229" t="s" s="11">
        <v>27</v>
      </c>
      <c r="BC229" s="55"/>
      <c r="BD229" s="48"/>
      <c r="BE229" s="234">
        <v>1</v>
      </c>
      <c r="BF229" s="234">
        <v>1</v>
      </c>
      <c r="BG229" s="48"/>
      <c r="BH229" s="48"/>
      <c r="BI229" s="24" cm="1">
        <f t="array" ref="BI229">SUM(BC229:BH229)</f>
        <v>2</v>
      </c>
      <c r="BJ229" s="19"/>
      <c r="BK229" s="19"/>
    </row>
    <row r="230" ht="26.55" customHeight="1">
      <c r="BB230" t="s" s="32">
        <v>109</v>
      </c>
      <c r="BC230" s="55"/>
      <c r="BD230" s="234">
        <v>1</v>
      </c>
      <c r="BE230" s="48"/>
      <c r="BF230" s="234">
        <v>1</v>
      </c>
      <c r="BG230" s="48"/>
      <c r="BH230" s="48"/>
      <c r="BI230" s="24" cm="1">
        <f t="array" ref="BI230">SUM(BC230:BH230)</f>
        <v>2</v>
      </c>
      <c r="BJ230" s="19"/>
      <c r="BK230" s="19"/>
    </row>
    <row r="231" ht="26.55" customHeight="1">
      <c r="BB231" t="s" s="11">
        <v>45</v>
      </c>
      <c r="BC231" s="233">
        <v>1</v>
      </c>
      <c r="BD231" s="234">
        <v>1</v>
      </c>
      <c r="BE231" s="234">
        <v>1</v>
      </c>
      <c r="BF231" s="234">
        <v>1</v>
      </c>
      <c r="BG231" s="48"/>
      <c r="BH231" s="234">
        <v>1</v>
      </c>
      <c r="BI231" s="24" cm="1">
        <f t="array" ref="BI231">SUM(BC231:BH231)</f>
        <v>5</v>
      </c>
      <c r="BJ231" s="19"/>
      <c r="BK231" s="19"/>
    </row>
    <row r="232" ht="26.55" customHeight="1">
      <c r="BB232" t="s" s="172">
        <v>46</v>
      </c>
      <c r="BC232" s="233">
        <v>1</v>
      </c>
      <c r="BD232" s="234">
        <v>1</v>
      </c>
      <c r="BE232" s="234">
        <v>1</v>
      </c>
      <c r="BF232" s="234">
        <v>1</v>
      </c>
      <c r="BG232" s="48"/>
      <c r="BH232" s="234">
        <v>1</v>
      </c>
      <c r="BI232" s="24" cm="1">
        <f t="array" ref="BI232">SUM(BC232:BH232)</f>
        <v>5</v>
      </c>
      <c r="BJ232" s="19"/>
      <c r="BK232" s="19"/>
    </row>
    <row r="233" ht="26.55" customHeight="1">
      <c r="BB233" t="s" s="172">
        <v>191</v>
      </c>
      <c r="BC233" s="55"/>
      <c r="BD233" s="48"/>
      <c r="BE233" s="48"/>
      <c r="BF233" s="234">
        <v>1</v>
      </c>
      <c r="BG233" s="48"/>
      <c r="BH233" s="48"/>
      <c r="BI233" s="24" cm="1">
        <f t="array" ref="BI233">SUM(BC233:BH233)</f>
        <v>1</v>
      </c>
      <c r="BJ233" s="19"/>
      <c r="BK233" s="19"/>
    </row>
    <row r="234" ht="26.55" customHeight="1">
      <c r="BB234" t="s" s="11">
        <v>154</v>
      </c>
      <c r="BC234" s="55"/>
      <c r="BD234" s="234">
        <v>1</v>
      </c>
      <c r="BE234" s="48"/>
      <c r="BF234" s="48"/>
      <c r="BG234" s="234">
        <v>1</v>
      </c>
      <c r="BH234" s="48"/>
      <c r="BI234" s="24" cm="1">
        <f t="array" ref="BI234">SUM(BC234:BH234)</f>
        <v>2</v>
      </c>
      <c r="BJ234" s="19"/>
      <c r="BK234" s="19"/>
    </row>
    <row r="235" ht="26.55" customHeight="1">
      <c r="BB235" t="s" s="11">
        <v>155</v>
      </c>
      <c r="BC235" s="233">
        <v>1</v>
      </c>
      <c r="BD235" s="234">
        <v>1</v>
      </c>
      <c r="BE235" s="48"/>
      <c r="BF235" s="234">
        <v>1</v>
      </c>
      <c r="BG235" s="48"/>
      <c r="BH235" s="48"/>
      <c r="BI235" s="24" cm="1">
        <f t="array" ref="BI235">SUM(BC235:BH235)</f>
        <v>3</v>
      </c>
      <c r="BJ235" s="19"/>
      <c r="BK235" s="19"/>
    </row>
    <row r="236" ht="26.55" customHeight="1">
      <c r="BB236" t="s" s="11">
        <v>19</v>
      </c>
      <c r="BC236" s="55"/>
      <c r="BD236" s="48"/>
      <c r="BE236" s="48"/>
      <c r="BF236" s="48"/>
      <c r="BG236" s="48"/>
      <c r="BH236" s="48"/>
      <c r="BI236" s="24" cm="1">
        <f t="array" ref="BI236">SUM(BC236:BH236)</f>
        <v>0</v>
      </c>
      <c r="BJ236" s="19"/>
      <c r="BK236" s="19"/>
    </row>
    <row r="237" ht="26.55" customHeight="1">
      <c r="BB237" t="s" s="95">
        <v>35</v>
      </c>
      <c r="BC237" s="55"/>
      <c r="BD237" s="48"/>
      <c r="BE237" s="48"/>
      <c r="BF237" s="48"/>
      <c r="BG237" s="48"/>
      <c r="BH237" s="235">
        <v>1</v>
      </c>
      <c r="BI237" s="24" cm="1">
        <f t="array" ref="BI237">SUM(BC237:BH237)</f>
        <v>1</v>
      </c>
      <c r="BJ237" s="19"/>
      <c r="BK237" s="19"/>
    </row>
    <row r="238" ht="26.55" customHeight="1">
      <c r="BB238" t="s" s="95">
        <v>10</v>
      </c>
      <c r="BC238" s="236">
        <v>1</v>
      </c>
      <c r="BD238" s="235">
        <v>1</v>
      </c>
      <c r="BE238" s="235">
        <v>1</v>
      </c>
      <c r="BF238" s="235">
        <v>1</v>
      </c>
      <c r="BG238" s="235">
        <v>1</v>
      </c>
      <c r="BH238" s="235">
        <v>1</v>
      </c>
      <c r="BI238" s="24" cm="1">
        <f t="array" ref="BI238">SUM(BC238:BH238)</f>
        <v>6</v>
      </c>
      <c r="BJ238" s="19"/>
      <c r="BK238" s="19"/>
    </row>
    <row r="239" ht="26.55" customHeight="1">
      <c r="BB239" t="s" s="95">
        <v>37</v>
      </c>
      <c r="BC239" s="236">
        <v>1</v>
      </c>
      <c r="BD239" s="48"/>
      <c r="BE239" s="48"/>
      <c r="BF239" s="235">
        <v>1</v>
      </c>
      <c r="BG239" s="48"/>
      <c r="BH239" s="48"/>
      <c r="BI239" s="24" cm="1">
        <f t="array" ref="BI239">SUM(BC239:BH239)</f>
        <v>2</v>
      </c>
      <c r="BJ239" s="19"/>
      <c r="BK239" s="19"/>
    </row>
    <row r="240" ht="26.55" customHeight="1">
      <c r="BB240" t="s" s="11">
        <v>32</v>
      </c>
      <c r="BC240" s="233">
        <v>1</v>
      </c>
      <c r="BD240" s="48"/>
      <c r="BE240" s="234">
        <v>1</v>
      </c>
      <c r="BF240" s="48"/>
      <c r="BG240" s="234">
        <v>1</v>
      </c>
      <c r="BH240" s="48"/>
      <c r="BI240" s="24" cm="1">
        <f t="array" ref="BI240">SUM(BC240:BH240)</f>
        <v>3</v>
      </c>
      <c r="BJ240" s="19"/>
      <c r="BK240" s="19"/>
    </row>
    <row r="241" ht="26.55" customHeight="1">
      <c r="BB241" t="s" s="32">
        <v>274</v>
      </c>
      <c r="BC241" s="55"/>
      <c r="BD241" s="48"/>
      <c r="BE241" s="48"/>
      <c r="BF241" s="48"/>
      <c r="BG241" s="48"/>
      <c r="BH241" s="48"/>
      <c r="BI241" s="24" cm="1">
        <f t="array" ref="BI241">SUM(BC241:BH241)</f>
        <v>0</v>
      </c>
      <c r="BJ241" s="19"/>
      <c r="BK241" s="19"/>
    </row>
    <row r="242" ht="26.55" customHeight="1">
      <c r="BB242" t="s" s="32">
        <v>47</v>
      </c>
      <c r="BC242" s="233">
        <v>1</v>
      </c>
      <c r="BD242" s="48"/>
      <c r="BE242" s="234">
        <v>1</v>
      </c>
      <c r="BF242" s="48"/>
      <c r="BG242" s="48"/>
      <c r="BH242" s="234">
        <v>1</v>
      </c>
      <c r="BI242" s="24" cm="1">
        <f t="array" ref="BI242">SUM(BC242:BH242)</f>
        <v>3</v>
      </c>
      <c r="BJ242" s="19"/>
      <c r="BK242" s="19"/>
    </row>
    <row r="243" ht="26.55" customHeight="1">
      <c r="BB243" t="s" s="32">
        <v>48</v>
      </c>
      <c r="BC243" s="240">
        <v>1</v>
      </c>
      <c r="BD243" s="48"/>
      <c r="BE243" s="237">
        <v>1</v>
      </c>
      <c r="BF243" s="48"/>
      <c r="BG243" s="48"/>
      <c r="BH243" s="48"/>
      <c r="BI243" s="24" cm="1">
        <f t="array" ref="BI243">SUM(BC243:BH243)</f>
        <v>2</v>
      </c>
      <c r="BJ243" s="19"/>
      <c r="BK243" s="19"/>
    </row>
    <row r="244" ht="31.9" customHeight="1">
      <c r="BB244" t="s" s="32">
        <v>49</v>
      </c>
      <c r="BC244" s="240">
        <v>1</v>
      </c>
      <c r="BD244" s="48"/>
      <c r="BE244" s="237">
        <v>1</v>
      </c>
      <c r="BF244" s="48"/>
      <c r="BG244" s="48"/>
      <c r="BH244" s="48"/>
      <c r="BI244" s="24" cm="1">
        <f t="array" ref="BI244">SUM(BC244:BH244)</f>
        <v>2</v>
      </c>
      <c r="BJ244" s="48"/>
      <c r="BK244" s="48"/>
    </row>
    <row r="245" ht="23.75" customHeight="1">
      <c r="BB245" t="s" s="32">
        <v>50</v>
      </c>
      <c r="BC245" s="55"/>
      <c r="BD245" s="48"/>
      <c r="BE245" s="48"/>
      <c r="BF245" s="48"/>
      <c r="BG245" s="234">
        <v>1</v>
      </c>
      <c r="BH245" s="234">
        <v>1</v>
      </c>
      <c r="BI245" s="24" cm="1">
        <f t="array" ref="BI245">SUM(BC245:BH245)</f>
        <v>2</v>
      </c>
      <c r="BJ245" s="48"/>
      <c r="BK245" s="48"/>
    </row>
    <row r="246" ht="23.75" customHeight="1">
      <c r="BB246" t="s" s="32">
        <v>51</v>
      </c>
      <c r="BC246" s="55"/>
      <c r="BD246" s="48"/>
      <c r="BE246" s="48"/>
      <c r="BF246" s="48"/>
      <c r="BG246" s="48"/>
      <c r="BH246" s="48"/>
      <c r="BI246" s="24" cm="1">
        <f t="array" ref="BI246">SUM(BC246:BH246)</f>
        <v>0</v>
      </c>
      <c r="BJ246" s="48"/>
      <c r="BK246" s="48"/>
    </row>
    <row r="247" ht="23.75" customHeight="1">
      <c r="BB247" t="s" s="32">
        <v>52</v>
      </c>
      <c r="BC247" s="55"/>
      <c r="BD247" s="48"/>
      <c r="BE247" s="48"/>
      <c r="BF247" s="48"/>
      <c r="BG247" s="234">
        <v>1</v>
      </c>
      <c r="BH247" s="234">
        <v>1</v>
      </c>
      <c r="BI247" s="24" cm="1">
        <f t="array" ref="BI247">SUM(BC247:BH247)</f>
        <v>2</v>
      </c>
      <c r="BJ247" s="48"/>
      <c r="BK247" s="48"/>
    </row>
    <row r="248" ht="26.55" customHeight="1">
      <c r="BB248" t="s" s="32">
        <v>115</v>
      </c>
      <c r="BC248" s="240">
        <v>1</v>
      </c>
      <c r="BD248" s="48"/>
      <c r="BE248" s="237">
        <v>1</v>
      </c>
      <c r="BF248" s="48"/>
      <c r="BG248" s="48"/>
      <c r="BH248" s="48"/>
      <c r="BI248" s="24" cm="1">
        <f t="array" ref="BI248">SUM(BC248:BH248)</f>
        <v>2</v>
      </c>
      <c r="BJ248" s="24">
        <v>2</v>
      </c>
      <c r="BK248" s="19"/>
    </row>
    <row r="249" ht="26.55" customHeight="1">
      <c r="BB249" t="s" s="32">
        <v>197</v>
      </c>
      <c r="BC249" s="55"/>
      <c r="BD249" s="48"/>
      <c r="BE249" s="234">
        <v>1</v>
      </c>
      <c r="BF249" s="48"/>
      <c r="BG249" s="234">
        <v>1</v>
      </c>
      <c r="BH249" s="48"/>
      <c r="BI249" s="24" cm="1">
        <f t="array" ref="BI249">SUM(BC249:BH249)</f>
        <v>2</v>
      </c>
      <c r="BJ249" s="19"/>
      <c r="BK249" s="19"/>
    </row>
    <row r="250" ht="26.55" customHeight="1">
      <c r="BB250" t="s" s="32">
        <v>156</v>
      </c>
      <c r="BC250" s="233">
        <v>1</v>
      </c>
      <c r="BD250" s="234">
        <v>1</v>
      </c>
      <c r="BE250" s="234">
        <v>1</v>
      </c>
      <c r="BF250" s="234">
        <v>1</v>
      </c>
      <c r="BG250" s="48"/>
      <c r="BH250" s="48"/>
      <c r="BI250" s="24" cm="1">
        <f t="array" ref="BI250">SUM(BC250:BH250)</f>
        <v>4</v>
      </c>
      <c r="BJ250" s="19"/>
      <c r="BK250" s="19"/>
    </row>
    <row r="251" ht="26.55" customHeight="1">
      <c r="BB251" t="s" s="32">
        <v>239</v>
      </c>
      <c r="BC251" s="55"/>
      <c r="BD251" s="48"/>
      <c r="BE251" s="48"/>
      <c r="BF251" s="234">
        <v>1</v>
      </c>
      <c r="BG251" s="48"/>
      <c r="BH251" s="48"/>
      <c r="BI251" s="24" cm="1">
        <f t="array" ref="BI251">SUM(BC251:BH251)</f>
        <v>1</v>
      </c>
      <c r="BJ251" s="19"/>
      <c r="BK251" s="19"/>
    </row>
    <row r="252" ht="26.55" customHeight="1">
      <c r="BB252" t="s" s="32">
        <v>242</v>
      </c>
      <c r="BC252" s="233">
        <v>1</v>
      </c>
      <c r="BD252" s="48"/>
      <c r="BE252" s="234">
        <v>1</v>
      </c>
      <c r="BF252" s="234">
        <v>1</v>
      </c>
      <c r="BG252" s="48"/>
      <c r="BH252" s="48"/>
      <c r="BI252" s="24" cm="1">
        <f t="array" ref="BI252">SUM(BC252:BH252)</f>
        <v>3</v>
      </c>
      <c r="BJ252" s="19"/>
      <c r="BK252" s="19"/>
    </row>
    <row r="253" ht="26.55" customHeight="1">
      <c r="BB253" t="s" s="32">
        <v>244</v>
      </c>
      <c r="BC253" s="55"/>
      <c r="BD253" s="48"/>
      <c r="BE253" s="48"/>
      <c r="BF253" s="234">
        <v>1</v>
      </c>
      <c r="BG253" s="48"/>
      <c r="BH253" s="48"/>
      <c r="BI253" s="24" cm="1">
        <f t="array" ref="BI253">SUM(BC253:BH253)</f>
        <v>1</v>
      </c>
      <c r="BJ253" s="19"/>
      <c r="BK253" s="19"/>
    </row>
    <row r="254" ht="26.55" customHeight="1">
      <c r="BB254" t="s" s="32">
        <v>250</v>
      </c>
      <c r="BC254" s="55"/>
      <c r="BD254" s="48"/>
      <c r="BE254" s="48"/>
      <c r="BF254" s="48"/>
      <c r="BG254" s="48"/>
      <c r="BH254" s="48"/>
      <c r="BI254" s="24" cm="1">
        <f t="array" ref="BI254">SUM(BC254:BH254)</f>
        <v>0</v>
      </c>
      <c r="BJ254" s="19"/>
      <c r="BK254" s="19"/>
    </row>
    <row r="255" ht="26.55" customHeight="1">
      <c r="BB255" t="s" s="32">
        <v>319</v>
      </c>
      <c r="BC255" s="55"/>
      <c r="BD255" s="48"/>
      <c r="BE255" s="48"/>
      <c r="BF255" s="48"/>
      <c r="BG255" s="48"/>
      <c r="BH255" s="48"/>
      <c r="BI255" s="24" cm="1">
        <f t="array" ref="BI255">SUM(BC255:BH255)</f>
        <v>0</v>
      </c>
      <c r="BJ255" s="19"/>
      <c r="BK255" s="19"/>
    </row>
    <row r="256" ht="26.55" customHeight="1">
      <c r="BB256" t="s" s="32">
        <v>292</v>
      </c>
      <c r="BC256" s="233">
        <v>1</v>
      </c>
      <c r="BD256" s="48"/>
      <c r="BE256" s="234">
        <v>1</v>
      </c>
      <c r="BF256" s="48"/>
      <c r="BG256" s="234">
        <v>1</v>
      </c>
      <c r="BH256" s="234">
        <v>1</v>
      </c>
      <c r="BI256" s="24" cm="1">
        <f t="array" ref="BI256">SUM(BC256:BH256)</f>
        <v>4</v>
      </c>
      <c r="BJ256" s="19"/>
      <c r="BK256" s="19"/>
    </row>
    <row r="257" ht="26.55" customHeight="1">
      <c r="BB257" t="s" s="32">
        <v>257</v>
      </c>
      <c r="BC257" s="55"/>
      <c r="BD257" s="234">
        <v>1</v>
      </c>
      <c r="BE257" s="234">
        <v>1</v>
      </c>
      <c r="BF257" s="234">
        <v>1</v>
      </c>
      <c r="BG257" s="234">
        <v>1</v>
      </c>
      <c r="BH257" s="48"/>
      <c r="BI257" s="24" cm="1">
        <f t="array" ref="BI257">SUM(BC257:BH257)</f>
        <v>4</v>
      </c>
      <c r="BJ257" s="19"/>
      <c r="BK257" s="19"/>
    </row>
    <row r="258" ht="26.55" customHeight="1">
      <c r="BB258" t="s" s="32">
        <v>259</v>
      </c>
      <c r="BC258" s="55"/>
      <c r="BD258" s="48"/>
      <c r="BE258" s="234">
        <v>1</v>
      </c>
      <c r="BF258" s="234">
        <v>1</v>
      </c>
      <c r="BG258" s="48"/>
      <c r="BH258" s="234">
        <v>1</v>
      </c>
      <c r="BI258" s="24" cm="1">
        <f t="array" ref="BI258">SUM(BC258:BH258)</f>
        <v>3</v>
      </c>
      <c r="BJ258" s="19"/>
      <c r="BK258" s="19"/>
    </row>
    <row r="259" ht="26.55" customHeight="1">
      <c r="BB259" t="s" s="32">
        <v>262</v>
      </c>
      <c r="BC259" s="55"/>
      <c r="BD259" s="48"/>
      <c r="BE259" s="48"/>
      <c r="BF259" s="48"/>
      <c r="BG259" s="48"/>
      <c r="BH259" s="48"/>
      <c r="BI259" s="24" cm="1">
        <f t="array" ref="BI259">SUM(BC259:BH259)</f>
        <v>0</v>
      </c>
      <c r="BJ259" s="19"/>
      <c r="BK259" s="19"/>
    </row>
    <row r="260" ht="26.55" customHeight="1">
      <c r="BB260" t="s" s="32">
        <v>265</v>
      </c>
      <c r="BC260" s="55"/>
      <c r="BD260" s="48"/>
      <c r="BE260" s="48"/>
      <c r="BF260" s="48"/>
      <c r="BG260" s="48"/>
      <c r="BH260" s="48"/>
      <c r="BI260" s="24" cm="1">
        <f t="array" ref="BI260">SUM(BC260:BH260)</f>
        <v>0</v>
      </c>
      <c r="BJ260" s="19"/>
      <c r="BK260" s="19"/>
    </row>
    <row r="261" ht="26.55" customHeight="1">
      <c r="BB261" t="s" s="32">
        <v>268</v>
      </c>
      <c r="BC261" s="55"/>
      <c r="BD261" s="48"/>
      <c r="BE261" s="48"/>
      <c r="BF261" s="48"/>
      <c r="BG261" s="48"/>
      <c r="BH261" s="48"/>
      <c r="BI261" s="24" cm="1">
        <f t="array" ref="BI261">SUM(BC261:BH261)</f>
        <v>0</v>
      </c>
      <c r="BJ261" s="19"/>
      <c r="BK261" s="19"/>
    </row>
    <row r="262" ht="26.55" customHeight="1">
      <c r="BB262" t="s" s="32">
        <v>270</v>
      </c>
      <c r="BC262" s="55"/>
      <c r="BD262" s="48"/>
      <c r="BE262" s="48"/>
      <c r="BF262" s="48"/>
      <c r="BG262" s="48"/>
      <c r="BH262" s="48"/>
      <c r="BI262" s="24" cm="1">
        <f t="array" ref="BI262">SUM(BC262:BH262)</f>
        <v>0</v>
      </c>
      <c r="BJ262" s="19"/>
      <c r="BK262" s="19"/>
    </row>
    <row r="263" ht="26.55" customHeight="1">
      <c r="BB263" t="s" s="32">
        <v>272</v>
      </c>
      <c r="BC263" s="55"/>
      <c r="BD263" s="48"/>
      <c r="BE263" s="48"/>
      <c r="BF263" s="48"/>
      <c r="BG263" s="48"/>
      <c r="BH263" s="48"/>
      <c r="BI263" s="24" cm="1">
        <f t="array" ref="BI263">SUM(BC263:BH263)</f>
        <v>0</v>
      </c>
      <c r="BJ263" s="19"/>
      <c r="BK263" s="19"/>
    </row>
    <row r="264" ht="26.55" customHeight="1">
      <c r="BB264" t="s" s="32">
        <v>102</v>
      </c>
      <c r="BC264" s="38">
        <v>3</v>
      </c>
      <c r="BD264" s="40">
        <v>1</v>
      </c>
      <c r="BE264" s="40">
        <v>3</v>
      </c>
      <c r="BF264" s="40">
        <v>3</v>
      </c>
      <c r="BG264" s="40">
        <v>1</v>
      </c>
      <c r="BH264" s="48"/>
      <c r="BI264" s="143" cm="1">
        <f t="array" ref="BI264">SUM(BC264:BH264)</f>
        <v>11</v>
      </c>
      <c r="BJ264" s="48"/>
      <c r="BK264" s="48"/>
    </row>
    <row r="265" ht="38.95" customHeight="1">
      <c r="BB265" t="s" s="49">
        <v>30</v>
      </c>
      <c r="BC265" s="12" cm="1">
        <f t="array" ref="BC265">SUM(BC226:BC264)</f>
        <v>17</v>
      </c>
      <c r="BD265" s="24" cm="1">
        <f t="array" ref="BD265">SUM(BD226:BD264)</f>
        <v>10</v>
      </c>
      <c r="BE265" s="24" cm="1">
        <f t="array" ref="BE265">SUM(BE226:BE264)</f>
        <v>19</v>
      </c>
      <c r="BF265" s="24" cm="1">
        <f t="array" ref="BF265">SUM(BF226:BF264)</f>
        <v>18</v>
      </c>
      <c r="BG265" s="24" cm="1">
        <f t="array" ref="BG265">SUM(BG226:BG264)</f>
        <v>10</v>
      </c>
      <c r="BH265" s="24" cm="1">
        <f t="array" ref="BH265">SUM(BH226:BH264)</f>
        <v>10</v>
      </c>
      <c r="BI265" s="24" cm="1">
        <f t="array" ref="BI265">SUM(BI226:BI264)</f>
        <v>84</v>
      </c>
      <c r="BJ265" s="48"/>
      <c r="BK265" s="48"/>
    </row>
    <row r="267" ht="27.65" customHeight="1">
      <c r="BL267" t="s" s="2">
        <v>92</v>
      </c>
      <c r="BM267" s="2"/>
      <c r="BN267" s="2"/>
      <c r="BO267" s="2"/>
      <c r="BP267" s="2"/>
      <c r="BQ267" s="2"/>
      <c r="BR267" s="2"/>
      <c r="BS267" s="2"/>
      <c r="BT267" s="2"/>
      <c r="BU267" s="2"/>
    </row>
    <row r="268" ht="41.7" customHeight="1">
      <c r="BL268" s="35"/>
      <c r="BM268" t="s" s="3">
        <v>333</v>
      </c>
      <c r="BN268" t="s" s="3">
        <v>334</v>
      </c>
      <c r="BO268" t="s" s="3">
        <v>335</v>
      </c>
      <c r="BP268" t="s" s="3">
        <v>336</v>
      </c>
      <c r="BQ268" t="s" s="3">
        <v>337</v>
      </c>
      <c r="BR268" t="s" s="3">
        <v>338</v>
      </c>
      <c r="BS268" t="s" s="3">
        <v>67</v>
      </c>
      <c r="BT268" t="s" s="3">
        <v>68</v>
      </c>
      <c r="BU268" t="s" s="3">
        <v>69</v>
      </c>
    </row>
    <row r="269" ht="26.25" customHeight="1">
      <c r="BL269" t="s" s="6">
        <v>16</v>
      </c>
      <c r="BM269" s="136"/>
      <c r="BN269" s="123"/>
      <c r="BO269" s="123"/>
      <c r="BP269" s="123"/>
      <c r="BQ269" s="123"/>
      <c r="BR269" s="123"/>
      <c r="BS269" s="123"/>
      <c r="BT269" s="123"/>
      <c r="BU269" s="37"/>
    </row>
    <row r="270" ht="25.95" customHeight="1">
      <c r="BL270" t="s" s="11">
        <v>18</v>
      </c>
      <c r="BM270" s="55"/>
      <c r="BN270" s="48"/>
      <c r="BO270" s="48"/>
      <c r="BP270" s="48"/>
      <c r="BQ270" s="48"/>
      <c r="BR270" s="48"/>
      <c r="BS270" s="48"/>
      <c r="BT270" s="48"/>
      <c r="BU270" s="19"/>
    </row>
    <row r="271" ht="25.95" customHeight="1">
      <c r="BL271" t="s" s="11">
        <v>287</v>
      </c>
      <c r="BM271" s="55"/>
      <c r="BN271" s="48"/>
      <c r="BO271" s="48"/>
      <c r="BP271" s="48"/>
      <c r="BQ271" s="48"/>
      <c r="BR271" s="48"/>
      <c r="BS271" s="48"/>
      <c r="BT271" s="48"/>
      <c r="BU271" s="19"/>
    </row>
    <row r="272" ht="25.95" customHeight="1">
      <c r="BL272" t="s" s="11">
        <v>27</v>
      </c>
      <c r="BM272" s="55"/>
      <c r="BN272" s="48"/>
      <c r="BO272" s="48"/>
      <c r="BP272" s="48"/>
      <c r="BQ272" s="48"/>
      <c r="BR272" s="48"/>
      <c r="BS272" s="48"/>
      <c r="BT272" s="48"/>
      <c r="BU272" s="19"/>
    </row>
    <row r="273" ht="25.95" customHeight="1">
      <c r="BL273" t="s" s="32">
        <v>109</v>
      </c>
      <c r="BM273" s="55"/>
      <c r="BN273" s="48"/>
      <c r="BO273" s="48"/>
      <c r="BP273" s="48"/>
      <c r="BQ273" s="48"/>
      <c r="BR273" s="48"/>
      <c r="BS273" s="48"/>
      <c r="BT273" s="48"/>
      <c r="BU273" s="19"/>
    </row>
    <row r="274" ht="41.5" customHeight="1">
      <c r="BL274" t="s" s="11">
        <v>45</v>
      </c>
      <c r="BM274" s="55"/>
      <c r="BN274" s="48"/>
      <c r="BO274" s="48"/>
      <c r="BP274" s="48"/>
      <c r="BQ274" s="48"/>
      <c r="BR274" s="48"/>
      <c r="BS274" s="48"/>
      <c r="BT274" s="48"/>
      <c r="BU274" s="19"/>
    </row>
    <row r="275" ht="25.95" customHeight="1">
      <c r="BL275" t="s" s="11">
        <v>154</v>
      </c>
      <c r="BM275" s="55"/>
      <c r="BN275" s="48"/>
      <c r="BO275" s="48"/>
      <c r="BP275" s="48"/>
      <c r="BQ275" s="48"/>
      <c r="BR275" s="48"/>
      <c r="BS275" s="48"/>
      <c r="BT275" s="48"/>
      <c r="BU275" s="19"/>
    </row>
    <row r="276" ht="25.95" customHeight="1">
      <c r="BL276" t="s" s="11">
        <v>155</v>
      </c>
      <c r="BM276" s="55"/>
      <c r="BN276" s="48"/>
      <c r="BO276" s="48"/>
      <c r="BP276" s="48"/>
      <c r="BQ276" s="48"/>
      <c r="BR276" s="48"/>
      <c r="BS276" s="48"/>
      <c r="BT276" s="48"/>
      <c r="BU276" s="19"/>
    </row>
    <row r="277" ht="25.95" customHeight="1">
      <c r="BL277" t="s" s="11">
        <v>19</v>
      </c>
      <c r="BM277" s="55"/>
      <c r="BN277" s="48"/>
      <c r="BO277" s="48"/>
      <c r="BP277" s="48"/>
      <c r="BQ277" s="48"/>
      <c r="BR277" s="48"/>
      <c r="BS277" s="48"/>
      <c r="BT277" s="48"/>
      <c r="BU277" s="19"/>
    </row>
    <row r="278" ht="25.95" customHeight="1">
      <c r="BL278" t="s" s="95">
        <v>35</v>
      </c>
      <c r="BM278" s="55"/>
      <c r="BN278" s="48"/>
      <c r="BO278" s="48"/>
      <c r="BP278" s="48"/>
      <c r="BQ278" s="48"/>
      <c r="BR278" s="48"/>
      <c r="BS278" s="78"/>
      <c r="BT278" s="78"/>
      <c r="BU278" s="27"/>
    </row>
    <row r="279" ht="25.95" customHeight="1">
      <c r="BL279" t="s" s="95">
        <v>10</v>
      </c>
      <c r="BM279" s="55"/>
      <c r="BN279" s="48"/>
      <c r="BO279" s="48"/>
      <c r="BP279" s="48"/>
      <c r="BQ279" s="48"/>
      <c r="BR279" s="48"/>
      <c r="BS279" s="48"/>
      <c r="BT279" s="48"/>
      <c r="BU279" s="19"/>
    </row>
    <row r="280" ht="25.95" customHeight="1">
      <c r="BL280" t="s" s="95">
        <v>37</v>
      </c>
      <c r="BM280" s="55"/>
      <c r="BN280" s="48"/>
      <c r="BO280" s="48"/>
      <c r="BP280" s="48"/>
      <c r="BQ280" s="48"/>
      <c r="BR280" s="48"/>
      <c r="BS280" s="48"/>
      <c r="BT280" s="48"/>
      <c r="BU280" s="19"/>
    </row>
    <row r="281" ht="25.95" customHeight="1">
      <c r="BL281" t="s" s="11">
        <v>32</v>
      </c>
      <c r="BM281" s="55"/>
      <c r="BN281" s="48"/>
      <c r="BO281" s="48"/>
      <c r="BP281" s="48"/>
      <c r="BQ281" s="48"/>
      <c r="BR281" s="48"/>
      <c r="BS281" s="48"/>
      <c r="BT281" s="48"/>
      <c r="BU281" s="19"/>
    </row>
    <row r="282" ht="25.95" customHeight="1">
      <c r="BL282" t="s" s="172">
        <v>46</v>
      </c>
      <c r="BM282" s="55"/>
      <c r="BN282" s="48"/>
      <c r="BO282" s="48"/>
      <c r="BP282" s="48"/>
      <c r="BQ282" s="48"/>
      <c r="BR282" s="48"/>
      <c r="BS282" s="48"/>
      <c r="BT282" s="48"/>
      <c r="BU282" s="19"/>
    </row>
    <row r="283" ht="25.95" customHeight="1">
      <c r="BL283" t="s" s="172">
        <v>191</v>
      </c>
      <c r="BM283" s="55"/>
      <c r="BN283" s="48"/>
      <c r="BO283" s="48"/>
      <c r="BP283" s="48"/>
      <c r="BQ283" s="48"/>
      <c r="BR283" s="48"/>
      <c r="BS283" s="48"/>
      <c r="BT283" s="48"/>
      <c r="BU283" s="19"/>
    </row>
    <row r="284" ht="25.95" customHeight="1">
      <c r="BL284" t="s" s="32">
        <v>47</v>
      </c>
      <c r="BM284" s="55"/>
      <c r="BN284" s="48"/>
      <c r="BO284" s="48"/>
      <c r="BP284" s="48"/>
      <c r="BQ284" s="48"/>
      <c r="BR284" s="48"/>
      <c r="BS284" s="48"/>
      <c r="BT284" s="48"/>
      <c r="BU284" s="19"/>
    </row>
    <row r="285" ht="25.95" customHeight="1">
      <c r="BL285" t="s" s="32">
        <v>274</v>
      </c>
      <c r="BM285" s="55"/>
      <c r="BN285" s="48"/>
      <c r="BO285" s="48"/>
      <c r="BP285" s="48"/>
      <c r="BQ285" s="48"/>
      <c r="BR285" s="48"/>
      <c r="BS285" s="48"/>
      <c r="BT285" s="48"/>
      <c r="BU285" s="19"/>
    </row>
    <row r="286" ht="45.35" customHeight="1">
      <c r="BL286" t="s" s="32">
        <v>48</v>
      </c>
      <c r="BM286" s="193">
        <v>1</v>
      </c>
      <c r="BN286" s="48"/>
      <c r="BO286" s="48"/>
      <c r="BP286" s="48"/>
      <c r="BQ286" s="48"/>
      <c r="BR286" s="48"/>
      <c r="BS286" s="48"/>
      <c r="BT286" s="48"/>
      <c r="BU286" s="19"/>
    </row>
    <row r="287" ht="25.95" customHeight="1">
      <c r="BL287" t="s" s="32">
        <v>49</v>
      </c>
      <c r="BM287" s="193">
        <v>1</v>
      </c>
      <c r="BN287" s="48"/>
      <c r="BO287" s="48"/>
      <c r="BP287" s="48"/>
      <c r="BQ287" s="48"/>
      <c r="BR287" s="48"/>
      <c r="BS287" s="48"/>
      <c r="BT287" s="48"/>
      <c r="BU287" s="19"/>
    </row>
    <row r="288" ht="25.95" customHeight="1">
      <c r="BL288" t="s" s="32">
        <v>50</v>
      </c>
      <c r="BM288" s="55"/>
      <c r="BN288" s="48"/>
      <c r="BO288" s="48"/>
      <c r="BP288" s="48"/>
      <c r="BQ288" s="48"/>
      <c r="BR288" s="48"/>
      <c r="BS288" s="48"/>
      <c r="BT288" s="48"/>
      <c r="BU288" s="19"/>
    </row>
    <row r="289" ht="25.95" customHeight="1">
      <c r="BL289" t="s" s="32">
        <v>51</v>
      </c>
      <c r="BM289" s="55"/>
      <c r="BN289" s="48"/>
      <c r="BO289" s="48"/>
      <c r="BP289" s="48"/>
      <c r="BQ289" s="48"/>
      <c r="BR289" s="48"/>
      <c r="BS289" s="48"/>
      <c r="BT289" s="48"/>
      <c r="BU289" s="19"/>
    </row>
    <row r="290" ht="25.95" customHeight="1">
      <c r="BL290" t="s" s="32">
        <v>52</v>
      </c>
      <c r="BM290" s="55"/>
      <c r="BN290" s="48"/>
      <c r="BO290" s="48"/>
      <c r="BP290" s="48"/>
      <c r="BQ290" s="48"/>
      <c r="BR290" s="48"/>
      <c r="BS290" s="48"/>
      <c r="BT290" s="48"/>
      <c r="BU290" s="19"/>
    </row>
    <row r="291" ht="25.95" customHeight="1">
      <c r="BL291" t="s" s="32">
        <v>115</v>
      </c>
      <c r="BM291" s="193">
        <v>1</v>
      </c>
      <c r="BN291" s="48"/>
      <c r="BO291" s="189">
        <v>1</v>
      </c>
      <c r="BP291" s="48"/>
      <c r="BQ291" s="48"/>
      <c r="BR291" s="48"/>
      <c r="BS291" s="48"/>
      <c r="BT291" s="48"/>
      <c r="BU291" s="19"/>
    </row>
    <row r="292" ht="38.2" customHeight="1">
      <c r="BL292" t="s" s="32">
        <v>197</v>
      </c>
      <c r="BM292" s="55"/>
      <c r="BN292" s="48"/>
      <c r="BO292" s="48"/>
      <c r="BP292" s="48"/>
      <c r="BQ292" s="48"/>
      <c r="BR292" s="48"/>
      <c r="BS292" s="48"/>
      <c r="BT292" s="48"/>
      <c r="BU292" s="19"/>
    </row>
    <row r="293" ht="20.05" customHeight="1">
      <c r="BL293" t="s" s="32">
        <v>156</v>
      </c>
      <c r="BM293" s="55"/>
      <c r="BN293" s="48"/>
      <c r="BO293" s="48"/>
      <c r="BP293" s="48"/>
      <c r="BQ293" s="48"/>
      <c r="BR293" s="48"/>
      <c r="BS293" s="78"/>
      <c r="BT293" s="78"/>
      <c r="BU293" s="27"/>
    </row>
    <row r="294" ht="32.1" customHeight="1">
      <c r="BL294" t="s" s="32">
        <v>239</v>
      </c>
      <c r="BM294" s="55"/>
      <c r="BN294" s="48"/>
      <c r="BO294" s="48"/>
      <c r="BP294" s="48"/>
      <c r="BQ294" s="48"/>
      <c r="BR294" s="48"/>
      <c r="BS294" s="78"/>
      <c r="BT294" s="78"/>
      <c r="BU294" s="27"/>
    </row>
    <row r="295" ht="20.05" customHeight="1">
      <c r="BL295" t="s" s="32">
        <v>242</v>
      </c>
      <c r="BM295" s="55"/>
      <c r="BN295" s="48"/>
      <c r="BO295" s="48"/>
      <c r="BP295" s="48"/>
      <c r="BQ295" s="48"/>
      <c r="BR295" s="48"/>
      <c r="BS295" s="78"/>
      <c r="BT295" s="78"/>
      <c r="BU295" s="27"/>
    </row>
    <row r="296" ht="20.05" customHeight="1">
      <c r="BL296" t="s" s="32">
        <v>244</v>
      </c>
      <c r="BM296" s="55"/>
      <c r="BN296" s="48"/>
      <c r="BO296" s="48"/>
      <c r="BP296" s="48"/>
      <c r="BQ296" s="48"/>
      <c r="BR296" s="48"/>
      <c r="BS296" s="78"/>
      <c r="BT296" s="78"/>
      <c r="BU296" s="27"/>
    </row>
    <row r="297" ht="20.05" customHeight="1">
      <c r="BL297" t="s" s="32">
        <v>250</v>
      </c>
      <c r="BM297" s="55"/>
      <c r="BN297" s="48"/>
      <c r="BO297" s="48"/>
      <c r="BP297" s="48"/>
      <c r="BQ297" s="48"/>
      <c r="BR297" s="48"/>
      <c r="BS297" s="78"/>
      <c r="BT297" s="78"/>
      <c r="BU297" s="27"/>
    </row>
    <row r="298" ht="20.05" customHeight="1">
      <c r="BL298" s="206"/>
      <c r="BM298" s="55"/>
      <c r="BN298" s="48"/>
      <c r="BO298" s="48"/>
      <c r="BP298" s="48"/>
      <c r="BQ298" s="48"/>
      <c r="BR298" s="48"/>
      <c r="BS298" s="78"/>
      <c r="BT298" s="78"/>
      <c r="BU298" s="27"/>
    </row>
    <row r="299" ht="20.05" customHeight="1">
      <c r="BL299" t="s" s="32">
        <v>292</v>
      </c>
      <c r="BM299" s="55"/>
      <c r="BN299" s="48"/>
      <c r="BO299" s="48"/>
      <c r="BP299" s="48"/>
      <c r="BQ299" s="48"/>
      <c r="BR299" s="48"/>
      <c r="BS299" s="78"/>
      <c r="BT299" s="78"/>
      <c r="BU299" s="27"/>
    </row>
    <row r="300" ht="20.05" customHeight="1">
      <c r="BL300" t="s" s="32">
        <v>257</v>
      </c>
      <c r="BM300" s="55"/>
      <c r="BN300" s="48"/>
      <c r="BO300" s="48"/>
      <c r="BP300" s="48"/>
      <c r="BQ300" s="48"/>
      <c r="BR300" s="48"/>
      <c r="BS300" s="78"/>
      <c r="BT300" s="78"/>
      <c r="BU300" s="27"/>
    </row>
    <row r="301" ht="20.05" customHeight="1">
      <c r="BL301" t="s" s="32">
        <v>259</v>
      </c>
      <c r="BM301" s="55"/>
      <c r="BN301" s="48"/>
      <c r="BO301" s="48"/>
      <c r="BP301" s="48"/>
      <c r="BQ301" s="48"/>
      <c r="BR301" s="48"/>
      <c r="BS301" s="78"/>
      <c r="BT301" s="78"/>
      <c r="BU301" s="27"/>
    </row>
    <row r="302" ht="20.05" customHeight="1">
      <c r="BL302" t="s" s="32">
        <v>262</v>
      </c>
      <c r="BM302" s="55"/>
      <c r="BN302" s="48"/>
      <c r="BO302" s="48"/>
      <c r="BP302" s="48"/>
      <c r="BQ302" s="48"/>
      <c r="BR302" s="48"/>
      <c r="BS302" s="78"/>
      <c r="BT302" s="78"/>
      <c r="BU302" s="27"/>
    </row>
    <row r="303" ht="20.05" customHeight="1">
      <c r="BL303" t="s" s="32">
        <v>265</v>
      </c>
      <c r="BM303" s="55"/>
      <c r="BN303" s="48"/>
      <c r="BO303" s="48"/>
      <c r="BP303" s="48"/>
      <c r="BQ303" s="48"/>
      <c r="BR303" s="48"/>
      <c r="BS303" s="78"/>
      <c r="BT303" s="78"/>
      <c r="BU303" s="27"/>
    </row>
    <row r="304" ht="32.05" customHeight="1">
      <c r="BL304" t="s" s="32">
        <v>268</v>
      </c>
      <c r="BM304" s="55"/>
      <c r="BN304" s="48"/>
      <c r="BO304" s="48"/>
      <c r="BP304" s="48"/>
      <c r="BQ304" s="48"/>
      <c r="BR304" s="48"/>
      <c r="BS304" s="78"/>
      <c r="BT304" s="78"/>
      <c r="BU304" s="27"/>
    </row>
    <row r="305" ht="20.05" customHeight="1">
      <c r="BL305" t="s" s="32">
        <v>270</v>
      </c>
      <c r="BM305" s="55"/>
      <c r="BN305" s="48"/>
      <c r="BO305" s="48"/>
      <c r="BP305" s="48"/>
      <c r="BQ305" s="48"/>
      <c r="BR305" s="48"/>
      <c r="BS305" s="78"/>
      <c r="BT305" s="78"/>
      <c r="BU305" s="27"/>
    </row>
    <row r="306" ht="20.05" customHeight="1">
      <c r="BL306" t="s" s="32">
        <v>272</v>
      </c>
      <c r="BM306" s="55"/>
      <c r="BN306" s="48"/>
      <c r="BO306" s="48"/>
      <c r="BP306" s="48"/>
      <c r="BQ306" s="48"/>
      <c r="BR306" s="48"/>
      <c r="BS306" s="78"/>
      <c r="BT306" s="78"/>
      <c r="BU306" s="27"/>
    </row>
    <row r="307" ht="21.5" customHeight="1">
      <c r="BL307" t="s" s="32">
        <v>102</v>
      </c>
      <c r="BM307" s="55"/>
      <c r="BN307" s="48"/>
      <c r="BO307" s="48"/>
      <c r="BP307" s="48"/>
      <c r="BQ307" s="48"/>
      <c r="BR307" s="48"/>
      <c r="BS307" s="48"/>
      <c r="BT307" s="48"/>
      <c r="BU307" s="128"/>
    </row>
    <row r="308" ht="21.5" customHeight="1">
      <c r="BL308" t="s" s="49">
        <v>30</v>
      </c>
      <c r="BM308" s="12" cm="1">
        <f t="array" ref="BM308">SUM(BM269:BM293)</f>
        <v>3</v>
      </c>
      <c r="BN308" s="24" cm="1">
        <f t="array" ref="BN308">SUM(BN269:BN293)</f>
        <v>0</v>
      </c>
      <c r="BO308" s="24" cm="1">
        <f t="array" ref="BO308">SUM(BO269:BO293)</f>
        <v>1</v>
      </c>
      <c r="BP308" s="24" cm="1">
        <f t="array" ref="BP308">SUM(BP269:BP293)</f>
        <v>0</v>
      </c>
      <c r="BQ308" s="24" cm="1">
        <f t="array" ref="BQ308">SUM(BQ269:BQ293)</f>
        <v>0</v>
      </c>
      <c r="BR308" s="24" cm="1">
        <f t="array" ref="BR308">SUM(BR269:BR293)</f>
        <v>0</v>
      </c>
      <c r="BS308" s="24" cm="1">
        <f t="array" ref="BS308">SUM(BM308:BR308)</f>
        <v>4</v>
      </c>
      <c r="BT308" s="24" cm="1">
        <f t="array" ref="BT308">SUM(BT269:BT293)</f>
        <v>0</v>
      </c>
      <c r="BU308" s="24" cm="1">
        <f t="array" ref="BU308">SUM(BU269:BU293)</f>
        <v>0</v>
      </c>
    </row>
    <row r="310" ht="27.65" customHeight="1">
      <c r="BV310" t="s" s="2">
        <v>84</v>
      </c>
      <c r="BW310" s="2"/>
      <c r="BX310" s="2"/>
      <c r="BY310" s="2"/>
      <c r="BZ310" s="2"/>
      <c r="CA310" s="2"/>
      <c r="CB310" s="2"/>
      <c r="CC310" s="2"/>
      <c r="CD310" s="2"/>
      <c r="CE310" s="2"/>
    </row>
    <row r="311" ht="42.3" customHeight="1">
      <c r="BV311" s="35"/>
      <c r="BW311" t="s" s="3">
        <v>333</v>
      </c>
      <c r="BX311" t="s" s="3">
        <v>334</v>
      </c>
      <c r="BY311" t="s" s="3">
        <v>335</v>
      </c>
      <c r="BZ311" t="s" s="3">
        <v>336</v>
      </c>
      <c r="CA311" t="s" s="3">
        <v>337</v>
      </c>
      <c r="CB311" t="s" s="3">
        <v>338</v>
      </c>
      <c r="CC311" t="s" s="3">
        <v>53</v>
      </c>
      <c r="CD311" t="s" s="3">
        <v>67</v>
      </c>
      <c r="CE311" t="s" s="3">
        <v>160</v>
      </c>
    </row>
    <row r="312" ht="26.6" customHeight="1">
      <c r="BV312" t="s" s="6">
        <v>16</v>
      </c>
      <c r="BW312" s="243">
        <v>1</v>
      </c>
      <c r="BX312" s="232">
        <v>1</v>
      </c>
      <c r="BY312" s="232">
        <v>1</v>
      </c>
      <c r="BZ312" s="232">
        <v>1</v>
      </c>
      <c r="CA312" s="232">
        <v>1</v>
      </c>
      <c r="CB312" s="123"/>
      <c r="CC312" s="47" cm="1">
        <f t="array" ref="CC312">SUM(BW312:CB312)</f>
        <v>5</v>
      </c>
      <c r="CD312" s="37"/>
      <c r="CE312" s="37"/>
    </row>
    <row r="313" ht="26.35" customHeight="1">
      <c r="BV313" t="s" s="11">
        <v>18</v>
      </c>
      <c r="BW313" s="55"/>
      <c r="BX313" s="48"/>
      <c r="BY313" s="48"/>
      <c r="BZ313" s="48"/>
      <c r="CA313" s="48"/>
      <c r="CB313" s="48"/>
      <c r="CC313" s="24" cm="1">
        <f t="array" ref="CC313">SUM(BW313:CB313)</f>
        <v>0</v>
      </c>
      <c r="CD313" s="19"/>
      <c r="CE313" s="19"/>
    </row>
    <row r="314" ht="26.35" customHeight="1">
      <c r="BV314" t="s" s="11">
        <v>287</v>
      </c>
      <c r="BW314" s="55"/>
      <c r="BX314" s="48"/>
      <c r="BY314" s="48"/>
      <c r="BZ314" s="234">
        <v>1</v>
      </c>
      <c r="CA314" s="48"/>
      <c r="CB314" s="48"/>
      <c r="CC314" s="24" cm="1">
        <f t="array" ref="CC314">SUM(BW314:CB314)</f>
        <v>1</v>
      </c>
      <c r="CD314" s="19"/>
      <c r="CE314" s="19"/>
    </row>
    <row r="315" ht="26.35" customHeight="1">
      <c r="BV315" t="s" s="11">
        <v>27</v>
      </c>
      <c r="BW315" s="55"/>
      <c r="BX315" s="48"/>
      <c r="BY315" s="48"/>
      <c r="BZ315" s="48"/>
      <c r="CA315" s="48"/>
      <c r="CB315" s="48"/>
      <c r="CC315" s="24" cm="1">
        <f t="array" ref="CC315">SUM(BW315:CB315)</f>
        <v>0</v>
      </c>
      <c r="CD315" s="19"/>
      <c r="CE315" s="19"/>
    </row>
    <row r="316" ht="26.35" customHeight="1">
      <c r="BV316" t="s" s="32">
        <v>109</v>
      </c>
      <c r="BW316" s="55"/>
      <c r="BX316" s="48"/>
      <c r="BY316" s="48"/>
      <c r="BZ316" s="48"/>
      <c r="CA316" s="48"/>
      <c r="CB316" s="82">
        <v>1</v>
      </c>
      <c r="CC316" s="24" cm="1">
        <f t="array" ref="CC316">SUM(BW316:CB316)</f>
        <v>1</v>
      </c>
      <c r="CD316" s="19"/>
      <c r="CE316" s="19"/>
    </row>
    <row r="317" ht="26.55" customHeight="1">
      <c r="BV317" t="s" s="11">
        <v>45</v>
      </c>
      <c r="BW317" s="233">
        <v>1</v>
      </c>
      <c r="BX317" s="234">
        <v>1</v>
      </c>
      <c r="BY317" s="234">
        <v>1</v>
      </c>
      <c r="BZ317" s="234">
        <v>1</v>
      </c>
      <c r="CA317" s="48"/>
      <c r="CB317" s="48"/>
      <c r="CC317" s="24" cm="1">
        <f t="array" ref="CC317">SUM(BW317:CB317)</f>
        <v>4</v>
      </c>
      <c r="CD317" s="19"/>
      <c r="CE317" s="19"/>
    </row>
    <row r="318" ht="26.35" customHeight="1">
      <c r="BV318" t="s" s="172">
        <v>46</v>
      </c>
      <c r="BW318" s="233">
        <v>1</v>
      </c>
      <c r="BX318" s="234">
        <v>1</v>
      </c>
      <c r="BY318" s="234">
        <v>1</v>
      </c>
      <c r="BZ318" s="234">
        <v>1</v>
      </c>
      <c r="CA318" s="48"/>
      <c r="CB318" s="48"/>
      <c r="CC318" s="24" cm="1">
        <f t="array" ref="CC318">SUM(BW318:CB318)</f>
        <v>4</v>
      </c>
      <c r="CD318" s="19"/>
      <c r="CE318" s="19"/>
    </row>
    <row r="319" ht="26.35" customHeight="1">
      <c r="BV319" t="s" s="172">
        <v>191</v>
      </c>
      <c r="BW319" s="233">
        <v>1</v>
      </c>
      <c r="BX319" s="234">
        <v>1</v>
      </c>
      <c r="BY319" s="234">
        <v>1</v>
      </c>
      <c r="BZ319" s="234">
        <v>1</v>
      </c>
      <c r="CA319" s="48"/>
      <c r="CB319" s="48"/>
      <c r="CC319" s="24" cm="1">
        <f t="array" ref="CC319">SUM(BW319:CB319)</f>
        <v>4</v>
      </c>
      <c r="CD319" s="19"/>
      <c r="CE319" s="19"/>
    </row>
    <row r="320" ht="26.35" customHeight="1">
      <c r="BV320" t="s" s="11">
        <v>154</v>
      </c>
      <c r="BW320" s="233">
        <v>1</v>
      </c>
      <c r="BX320" s="48"/>
      <c r="BY320" s="234">
        <v>1</v>
      </c>
      <c r="BZ320" s="48"/>
      <c r="CA320" s="234">
        <v>1</v>
      </c>
      <c r="CB320" s="48"/>
      <c r="CC320" s="24" cm="1">
        <f t="array" ref="CC320">SUM(BW320:CB320)</f>
        <v>3</v>
      </c>
      <c r="CD320" s="19"/>
      <c r="CE320" s="19"/>
    </row>
    <row r="321" ht="26.35" customHeight="1">
      <c r="BV321" t="s" s="11">
        <v>155</v>
      </c>
      <c r="BW321" s="233">
        <v>1</v>
      </c>
      <c r="BX321" s="48"/>
      <c r="BY321" s="234">
        <v>1</v>
      </c>
      <c r="BZ321" s="48"/>
      <c r="CA321" s="234">
        <v>1</v>
      </c>
      <c r="CB321" s="48"/>
      <c r="CC321" s="24" cm="1">
        <f t="array" ref="CC321">SUM(BW321:CB321)</f>
        <v>3</v>
      </c>
      <c r="CD321" s="19"/>
      <c r="CE321" s="19"/>
    </row>
    <row r="322" ht="26.35" customHeight="1">
      <c r="BV322" t="s" s="11">
        <v>19</v>
      </c>
      <c r="BW322" s="55"/>
      <c r="BX322" s="234">
        <v>1</v>
      </c>
      <c r="BY322" s="234">
        <v>1</v>
      </c>
      <c r="BZ322" s="48"/>
      <c r="CA322" s="48"/>
      <c r="CB322" s="48"/>
      <c r="CC322" s="24" cm="1">
        <f t="array" ref="CC322">SUM(BW322:CB322)</f>
        <v>2</v>
      </c>
      <c r="CD322" s="19"/>
      <c r="CE322" s="19"/>
    </row>
    <row r="323" ht="26.35" customHeight="1">
      <c r="BV323" t="s" s="95">
        <v>35</v>
      </c>
      <c r="BW323" s="55"/>
      <c r="BX323" s="48"/>
      <c r="BY323" s="48"/>
      <c r="BZ323" s="48"/>
      <c r="CA323" s="48"/>
      <c r="CB323" s="48"/>
      <c r="CC323" s="24" cm="1">
        <f t="array" ref="CC323">SUM(BW323:CB323)</f>
        <v>0</v>
      </c>
      <c r="CD323" s="19"/>
      <c r="CE323" s="19"/>
    </row>
    <row r="324" ht="26.35" customHeight="1">
      <c r="BV324" t="s" s="95">
        <v>10</v>
      </c>
      <c r="BW324" s="55"/>
      <c r="BX324" s="235">
        <v>1</v>
      </c>
      <c r="BY324" s="235">
        <v>1</v>
      </c>
      <c r="BZ324" s="235">
        <v>1</v>
      </c>
      <c r="CA324" s="235">
        <v>1</v>
      </c>
      <c r="CB324" s="48"/>
      <c r="CC324" s="24" cm="1">
        <f t="array" ref="CC324">SUM(BW324:CB324)</f>
        <v>4</v>
      </c>
      <c r="CD324" s="19"/>
      <c r="CE324" s="19"/>
    </row>
    <row r="325" ht="26.35" customHeight="1">
      <c r="BV325" t="s" s="95">
        <v>37</v>
      </c>
      <c r="BW325" s="55"/>
      <c r="BX325" s="48"/>
      <c r="BY325" s="235">
        <v>1</v>
      </c>
      <c r="BZ325" s="48"/>
      <c r="CA325" s="48"/>
      <c r="CB325" s="48"/>
      <c r="CC325" s="24" cm="1">
        <f t="array" ref="CC325">SUM(BW325:CB325)</f>
        <v>1</v>
      </c>
      <c r="CD325" s="19"/>
      <c r="CE325" s="19"/>
    </row>
    <row r="326" ht="26.35" customHeight="1">
      <c r="BV326" t="s" s="11">
        <v>32</v>
      </c>
      <c r="BW326" s="55"/>
      <c r="BX326" s="48"/>
      <c r="BY326" s="234">
        <v>1</v>
      </c>
      <c r="BZ326" s="48"/>
      <c r="CA326" s="48"/>
      <c r="CB326" s="48"/>
      <c r="CC326" s="24" cm="1">
        <f t="array" ref="CC326">SUM(BW326:CB326)</f>
        <v>1</v>
      </c>
      <c r="CD326" t="s" s="14">
        <v>339</v>
      </c>
      <c r="CE326" s="19"/>
    </row>
    <row r="327" ht="26.35" customHeight="1">
      <c r="BV327" t="s" s="32">
        <v>47</v>
      </c>
      <c r="BW327" s="233">
        <v>1</v>
      </c>
      <c r="BX327" s="48"/>
      <c r="BY327" s="234">
        <v>1</v>
      </c>
      <c r="BZ327" s="48"/>
      <c r="CA327" s="234">
        <v>1</v>
      </c>
      <c r="CB327" s="82">
        <v>1</v>
      </c>
      <c r="CC327" s="24" cm="1">
        <f t="array" ref="CC327">SUM(BW327:CB327)</f>
        <v>4</v>
      </c>
      <c r="CD327" s="19"/>
      <c r="CE327" s="19"/>
    </row>
    <row r="328" ht="26.35" customHeight="1">
      <c r="BV328" t="s" s="32">
        <v>274</v>
      </c>
      <c r="BW328" s="55"/>
      <c r="BX328" s="48"/>
      <c r="BY328" s="48"/>
      <c r="BZ328" s="48"/>
      <c r="CA328" s="234">
        <v>1</v>
      </c>
      <c r="CB328" s="48"/>
      <c r="CC328" s="24" cm="1">
        <f t="array" ref="CC328">SUM(BW328:CB328)</f>
        <v>1</v>
      </c>
      <c r="CD328" s="19"/>
      <c r="CE328" s="19"/>
    </row>
    <row r="329" ht="26.35" customHeight="1">
      <c r="BV329" t="s" s="32">
        <v>48</v>
      </c>
      <c r="BW329" s="240">
        <v>1</v>
      </c>
      <c r="BX329" s="48"/>
      <c r="BY329" s="48"/>
      <c r="BZ329" s="48"/>
      <c r="CA329" s="48"/>
      <c r="CB329" s="48"/>
      <c r="CC329" s="24" cm="1">
        <f t="array" ref="CC329">SUM(BW329:CB329)</f>
        <v>1</v>
      </c>
      <c r="CD329" s="19"/>
      <c r="CE329" s="19"/>
    </row>
    <row r="330" ht="26.35" customHeight="1">
      <c r="BV330" t="s" s="32">
        <v>49</v>
      </c>
      <c r="BW330" s="240">
        <v>1</v>
      </c>
      <c r="BX330" s="48"/>
      <c r="BY330" s="48"/>
      <c r="BZ330" s="48"/>
      <c r="CA330" s="48"/>
      <c r="CB330" s="48"/>
      <c r="CC330" s="24" cm="1">
        <f t="array" ref="CC330">SUM(BW330:CB330)</f>
        <v>1</v>
      </c>
      <c r="CD330" s="19"/>
      <c r="CE330" s="19"/>
    </row>
    <row r="331" ht="20.7" customHeight="1">
      <c r="BV331" t="s" s="32">
        <v>50</v>
      </c>
      <c r="BW331" s="55"/>
      <c r="BX331" s="48"/>
      <c r="BY331" s="48"/>
      <c r="BZ331" s="48"/>
      <c r="CA331" s="234">
        <v>1</v>
      </c>
      <c r="CB331" s="48"/>
      <c r="CC331" s="24" cm="1">
        <f t="array" ref="CC331">SUM(BW331:CB331)</f>
        <v>1</v>
      </c>
      <c r="CD331" s="19"/>
      <c r="CE331" s="19"/>
    </row>
    <row r="332" ht="20.7" customHeight="1">
      <c r="BV332" t="s" s="32">
        <v>51</v>
      </c>
      <c r="BW332" s="55"/>
      <c r="BX332" s="48"/>
      <c r="BY332" s="48"/>
      <c r="BZ332" s="48"/>
      <c r="CA332" s="48"/>
      <c r="CB332" s="48"/>
      <c r="CC332" s="24" cm="1">
        <f t="array" ref="CC332">SUM(BW332:CB332)</f>
        <v>0</v>
      </c>
      <c r="CD332" s="19"/>
      <c r="CE332" s="19"/>
    </row>
    <row r="333" ht="20.7" customHeight="1">
      <c r="BV333" t="s" s="32">
        <v>52</v>
      </c>
      <c r="BW333" s="55"/>
      <c r="BX333" s="48"/>
      <c r="BY333" s="48"/>
      <c r="BZ333" s="48"/>
      <c r="CA333" s="234">
        <v>1</v>
      </c>
      <c r="CB333" s="48"/>
      <c r="CC333" s="24" cm="1">
        <f t="array" ref="CC333">SUM(BW333:CB333)</f>
        <v>1</v>
      </c>
      <c r="CD333" s="19"/>
      <c r="CE333" s="19"/>
    </row>
    <row r="334" ht="26.35" customHeight="1">
      <c r="BV334" t="s" s="32">
        <v>115</v>
      </c>
      <c r="BW334" s="240">
        <v>1</v>
      </c>
      <c r="BX334" s="48"/>
      <c r="BY334" s="237">
        <v>1</v>
      </c>
      <c r="BZ334" s="48"/>
      <c r="CA334" s="48"/>
      <c r="CB334" s="48"/>
      <c r="CC334" s="24" cm="1">
        <f t="array" ref="CC334">SUM(BW334:CB334)</f>
        <v>2</v>
      </c>
      <c r="CD334" s="24">
        <v>2</v>
      </c>
      <c r="CE334" s="19"/>
    </row>
    <row r="335" ht="20.05" customHeight="1">
      <c r="BV335" t="s" s="32">
        <v>197</v>
      </c>
      <c r="BW335" s="55"/>
      <c r="BX335" s="48"/>
      <c r="BY335" s="48"/>
      <c r="BZ335" s="48"/>
      <c r="CA335" s="48"/>
      <c r="CB335" s="48"/>
      <c r="CC335" s="24" cm="1">
        <f t="array" ref="CC335">SUM(BW335:CB335)</f>
        <v>0</v>
      </c>
      <c r="CD335" s="19"/>
      <c r="CE335" s="19"/>
    </row>
    <row r="336" ht="20.05" customHeight="1">
      <c r="BV336" t="s" s="32">
        <v>156</v>
      </c>
      <c r="BW336" s="233">
        <v>1</v>
      </c>
      <c r="BX336" s="234">
        <v>1</v>
      </c>
      <c r="BY336" s="234">
        <v>1</v>
      </c>
      <c r="BZ336" s="234">
        <v>1</v>
      </c>
      <c r="CA336" s="234">
        <v>1</v>
      </c>
      <c r="CB336" s="48"/>
      <c r="CC336" s="24" cm="1">
        <f t="array" ref="CC336">SUM(BW336:CB336)</f>
        <v>5</v>
      </c>
      <c r="CD336" s="19"/>
      <c r="CE336" s="19"/>
    </row>
    <row r="337" ht="20.05" customHeight="1">
      <c r="BV337" t="s" s="32">
        <v>239</v>
      </c>
      <c r="BW337" s="55"/>
      <c r="BX337" s="48"/>
      <c r="BY337" s="48"/>
      <c r="BZ337" s="48"/>
      <c r="CA337" s="48"/>
      <c r="CB337" s="48"/>
      <c r="CC337" s="24" cm="1">
        <f t="array" ref="CC337">SUM(BW337:CB337)</f>
        <v>0</v>
      </c>
      <c r="CD337" s="19"/>
      <c r="CE337" s="19"/>
    </row>
    <row r="338" ht="20.05" customHeight="1">
      <c r="BV338" t="s" s="32">
        <v>242</v>
      </c>
      <c r="BW338" s="55"/>
      <c r="BX338" s="48"/>
      <c r="BY338" s="48"/>
      <c r="BZ338" s="48"/>
      <c r="CA338" s="48"/>
      <c r="CB338" s="48"/>
      <c r="CC338" s="24" cm="1">
        <f t="array" ref="CC338">SUM(BW338:CB338)</f>
        <v>0</v>
      </c>
      <c r="CD338" s="19"/>
      <c r="CE338" s="19"/>
    </row>
    <row r="339" ht="20.05" customHeight="1">
      <c r="BV339" t="s" s="32">
        <v>244</v>
      </c>
      <c r="BW339" s="55"/>
      <c r="BX339" s="48"/>
      <c r="BY339" s="48"/>
      <c r="BZ339" s="48"/>
      <c r="CA339" s="48"/>
      <c r="CB339" s="48"/>
      <c r="CC339" s="24" cm="1">
        <f t="array" ref="CC339">SUM(BW339:CB339)</f>
        <v>0</v>
      </c>
      <c r="CD339" s="19"/>
      <c r="CE339" s="19"/>
    </row>
    <row r="340" ht="20.05" customHeight="1">
      <c r="BV340" t="s" s="32">
        <v>250</v>
      </c>
      <c r="BW340" s="55"/>
      <c r="BX340" s="48"/>
      <c r="BY340" s="234">
        <v>1</v>
      </c>
      <c r="BZ340" s="234">
        <v>1</v>
      </c>
      <c r="CA340" s="234">
        <v>1</v>
      </c>
      <c r="CB340" s="48"/>
      <c r="CC340" s="24" cm="1">
        <f t="array" ref="CC340">SUM(BW340:CB340)</f>
        <v>3</v>
      </c>
      <c r="CD340" s="19"/>
      <c r="CE340" s="19"/>
    </row>
    <row r="341" ht="20.05" customHeight="1">
      <c r="BV341" t="s" s="32">
        <v>319</v>
      </c>
      <c r="BW341" s="55"/>
      <c r="BX341" s="48"/>
      <c r="BY341" s="48"/>
      <c r="BZ341" s="48"/>
      <c r="CA341" s="48"/>
      <c r="CB341" s="48"/>
      <c r="CC341" s="24" cm="1">
        <f t="array" ref="CC341">SUM(BW341:CB341)</f>
        <v>0</v>
      </c>
      <c r="CD341" s="19"/>
      <c r="CE341" s="19"/>
    </row>
    <row r="342" ht="20.05" customHeight="1">
      <c r="BV342" t="s" s="32">
        <v>292</v>
      </c>
      <c r="BW342" s="233">
        <v>1</v>
      </c>
      <c r="BX342" s="48"/>
      <c r="BY342" s="234">
        <v>1</v>
      </c>
      <c r="BZ342" s="48"/>
      <c r="CA342" s="234">
        <v>1</v>
      </c>
      <c r="CB342" s="82">
        <v>1</v>
      </c>
      <c r="CC342" s="24" cm="1">
        <f t="array" ref="CC342">SUM(BW342:CB342)</f>
        <v>4</v>
      </c>
      <c r="CD342" s="19"/>
      <c r="CE342" s="19"/>
    </row>
    <row r="343" ht="20.05" customHeight="1">
      <c r="BV343" t="s" s="32">
        <v>257</v>
      </c>
      <c r="BW343" s="233">
        <v>1</v>
      </c>
      <c r="BX343" s="48"/>
      <c r="BY343" s="234">
        <v>1</v>
      </c>
      <c r="BZ343" s="48"/>
      <c r="CA343" s="48"/>
      <c r="CB343" s="48"/>
      <c r="CC343" s="24" cm="1">
        <f t="array" ref="CC343">SUM(BW343:CB343)</f>
        <v>2</v>
      </c>
      <c r="CD343" s="19"/>
      <c r="CE343" s="19"/>
    </row>
    <row r="344" ht="20.05" customHeight="1">
      <c r="BV344" t="s" s="32">
        <v>259</v>
      </c>
      <c r="BW344" s="55"/>
      <c r="BX344" s="48"/>
      <c r="BY344" s="48"/>
      <c r="BZ344" s="48"/>
      <c r="CA344" s="48"/>
      <c r="CB344" s="48"/>
      <c r="CC344" s="24" cm="1">
        <f t="array" ref="CC344">SUM(BW344:CB344)</f>
        <v>0</v>
      </c>
      <c r="CD344" s="19"/>
      <c r="CE344" s="19"/>
    </row>
    <row r="345" ht="20.05" customHeight="1">
      <c r="BV345" t="s" s="32">
        <v>262</v>
      </c>
      <c r="BW345" s="233">
        <v>1</v>
      </c>
      <c r="BX345" s="234">
        <v>1</v>
      </c>
      <c r="BY345" s="48"/>
      <c r="BZ345" s="234">
        <v>1</v>
      </c>
      <c r="CA345" s="234">
        <v>1</v>
      </c>
      <c r="CB345" s="48"/>
      <c r="CC345" s="24" cm="1">
        <f t="array" ref="CC345">SUM(BW345:CB345)</f>
        <v>4</v>
      </c>
      <c r="CD345" s="19"/>
      <c r="CE345" s="19"/>
    </row>
    <row r="346" ht="20.05" customHeight="1">
      <c r="BV346" t="s" s="32">
        <v>265</v>
      </c>
      <c r="BW346" s="233">
        <v>1</v>
      </c>
      <c r="BX346" s="234">
        <v>1</v>
      </c>
      <c r="BY346" s="48"/>
      <c r="BZ346" s="234">
        <v>1</v>
      </c>
      <c r="CA346" s="234">
        <v>1</v>
      </c>
      <c r="CB346" s="48"/>
      <c r="CC346" s="24" cm="1">
        <f t="array" ref="CC346">SUM(BW346:CB346)</f>
        <v>4</v>
      </c>
      <c r="CD346" s="19"/>
      <c r="CE346" s="19"/>
    </row>
    <row r="347" ht="26.35" customHeight="1">
      <c r="BV347" t="s" s="32">
        <v>268</v>
      </c>
      <c r="BW347" s="55"/>
      <c r="BX347" s="48"/>
      <c r="BY347" s="48"/>
      <c r="BZ347" s="48"/>
      <c r="CA347" s="234">
        <v>1</v>
      </c>
      <c r="CB347" s="48"/>
      <c r="CC347" s="24" cm="1">
        <f t="array" ref="CC347">SUM(BW347:CB347)</f>
        <v>1</v>
      </c>
      <c r="CD347" s="19"/>
      <c r="CE347" s="19"/>
    </row>
    <row r="348" ht="26.35" customHeight="1">
      <c r="BV348" t="s" s="32">
        <v>270</v>
      </c>
      <c r="BW348" s="55"/>
      <c r="BX348" s="48"/>
      <c r="BY348" s="48"/>
      <c r="BZ348" s="48"/>
      <c r="CA348" s="48"/>
      <c r="CB348" s="48"/>
      <c r="CC348" s="24" cm="1">
        <f t="array" ref="CC348">SUM(BW348:CB348)</f>
        <v>0</v>
      </c>
      <c r="CD348" s="19"/>
      <c r="CE348" s="19"/>
    </row>
    <row r="349" ht="26.35" customHeight="1">
      <c r="BV349" t="s" s="32">
        <v>272</v>
      </c>
      <c r="BW349" s="55"/>
      <c r="BX349" s="48"/>
      <c r="BY349" s="48"/>
      <c r="BZ349" s="48"/>
      <c r="CA349" s="48"/>
      <c r="CB349" s="48"/>
      <c r="CC349" s="24" cm="1">
        <f t="array" ref="CC349">SUM(BW349:CB349)</f>
        <v>0</v>
      </c>
      <c r="CD349" s="19"/>
      <c r="CE349" s="19"/>
    </row>
    <row r="350" ht="26.35" customHeight="1">
      <c r="BV350" t="s" s="32">
        <v>102</v>
      </c>
      <c r="BW350" s="38">
        <v>2</v>
      </c>
      <c r="BX350" s="40">
        <v>2</v>
      </c>
      <c r="BY350" s="48"/>
      <c r="BZ350" s="40">
        <v>1</v>
      </c>
      <c r="CA350" s="40">
        <v>1</v>
      </c>
      <c r="CB350" s="48"/>
      <c r="CC350" s="24" cm="1">
        <f t="array" ref="CC350">SUM(BW350:CB350)</f>
        <v>6</v>
      </c>
      <c r="CD350" s="19"/>
      <c r="CE350" s="19"/>
    </row>
    <row r="351" ht="32.35" customHeight="1">
      <c r="BV351" t="s" s="49">
        <v>30</v>
      </c>
      <c r="BW351" s="12" cm="1">
        <f t="array" ref="BW351">SUM(BW312:BW350)</f>
        <v>17</v>
      </c>
      <c r="BX351" s="24" cm="1">
        <f t="array" ref="BX351">SUM(BX312:BX350)</f>
        <v>11</v>
      </c>
      <c r="BY351" s="24" cm="1">
        <f t="array" ref="BY351">SUM(BY312:BY350)</f>
        <v>16</v>
      </c>
      <c r="BZ351" s="24" cm="1">
        <f t="array" ref="BZ351">SUM(BZ312:BZ350)</f>
        <v>11</v>
      </c>
      <c r="CA351" s="24" cm="1">
        <f t="array" ref="CA351">SUM(CA312:CA350)</f>
        <v>15</v>
      </c>
      <c r="CB351" s="24" cm="1">
        <f t="array" ref="CB351">SUM(CB312:CB350)</f>
        <v>3</v>
      </c>
      <c r="CC351" s="24" cm="1">
        <f t="array" ref="CC351">SUM(CC312:CC350)</f>
        <v>73</v>
      </c>
      <c r="CD351" s="19"/>
      <c r="CE351" s="19"/>
    </row>
    <row r="353" ht="27.65" customHeight="1">
      <c r="CF353" t="s" s="2">
        <v>103</v>
      </c>
      <c r="CG353" s="2"/>
      <c r="CH353" s="2"/>
      <c r="CI353" s="2"/>
      <c r="CJ353" s="2"/>
      <c r="CK353" s="2"/>
      <c r="CL353" s="2"/>
      <c r="CM353" s="2"/>
      <c r="CN353" s="2"/>
      <c r="CO353" s="2"/>
    </row>
    <row r="354" ht="45.95" customHeight="1">
      <c r="CF354" s="35"/>
      <c r="CG354" t="s" s="3">
        <v>340</v>
      </c>
      <c r="CH354" t="s" s="3">
        <v>341</v>
      </c>
      <c r="CI354" t="s" s="3">
        <v>342</v>
      </c>
      <c r="CJ354" t="s" s="3">
        <v>343</v>
      </c>
      <c r="CK354" t="s" s="3">
        <v>344</v>
      </c>
      <c r="CL354" t="s" s="3">
        <v>345</v>
      </c>
      <c r="CM354" t="s" s="3">
        <v>67</v>
      </c>
      <c r="CN354" t="s" s="3">
        <v>68</v>
      </c>
      <c r="CO354" t="s" s="3">
        <v>69</v>
      </c>
    </row>
    <row r="355" ht="28.9" customHeight="1">
      <c r="CF355" t="s" s="6">
        <v>16</v>
      </c>
      <c r="CG355" s="136"/>
      <c r="CH355" s="123"/>
      <c r="CI355" s="123"/>
      <c r="CJ355" s="123"/>
      <c r="CK355" s="123"/>
      <c r="CL355" s="123"/>
      <c r="CM355" s="123"/>
      <c r="CN355" s="123"/>
      <c r="CO355" s="123"/>
    </row>
    <row r="356" ht="28.6" customHeight="1">
      <c r="CF356" t="s" s="11">
        <v>18</v>
      </c>
      <c r="CG356" s="55"/>
      <c r="CH356" s="48"/>
      <c r="CI356" s="48"/>
      <c r="CJ356" s="27"/>
      <c r="CK356" s="48"/>
      <c r="CL356" s="48"/>
      <c r="CM356" s="48"/>
      <c r="CN356" s="48"/>
      <c r="CO356" s="48"/>
    </row>
    <row r="357" ht="28.6" customHeight="1">
      <c r="CF357" t="s" s="11">
        <v>287</v>
      </c>
      <c r="CG357" s="55"/>
      <c r="CH357" s="48"/>
      <c r="CI357" s="48"/>
      <c r="CJ357" s="27"/>
      <c r="CK357" s="48"/>
      <c r="CL357" s="48"/>
      <c r="CM357" s="48"/>
      <c r="CN357" s="48"/>
      <c r="CO357" s="48"/>
    </row>
    <row r="358" ht="45.7" customHeight="1">
      <c r="CF358" t="s" s="11">
        <v>27</v>
      </c>
      <c r="CG358" s="55"/>
      <c r="CH358" s="48"/>
      <c r="CI358" s="48"/>
      <c r="CJ358" s="27"/>
      <c r="CK358" s="48"/>
      <c r="CL358" s="48"/>
      <c r="CM358" s="48"/>
      <c r="CN358" s="48"/>
      <c r="CO358" s="48"/>
    </row>
    <row r="359" ht="28.6" customHeight="1">
      <c r="CF359" t="s" s="32">
        <v>109</v>
      </c>
      <c r="CG359" s="55"/>
      <c r="CH359" s="48"/>
      <c r="CI359" s="48"/>
      <c r="CJ359" s="27"/>
      <c r="CK359" s="48"/>
      <c r="CL359" s="48"/>
      <c r="CM359" s="48"/>
      <c r="CN359" s="48"/>
      <c r="CO359" s="48"/>
    </row>
    <row r="360" ht="28.6" customHeight="1">
      <c r="CF360" t="s" s="11">
        <v>45</v>
      </c>
      <c r="CG360" s="55"/>
      <c r="CH360" s="48"/>
      <c r="CI360" s="48"/>
      <c r="CJ360" s="27"/>
      <c r="CK360" s="48"/>
      <c r="CL360" s="48"/>
      <c r="CM360" s="48"/>
      <c r="CN360" s="48"/>
      <c r="CO360" s="48"/>
    </row>
    <row r="361" ht="28.6" customHeight="1">
      <c r="CF361" t="s" s="11">
        <v>154</v>
      </c>
      <c r="CG361" s="55"/>
      <c r="CH361" s="48"/>
      <c r="CI361" s="48"/>
      <c r="CJ361" s="27"/>
      <c r="CK361" s="48"/>
      <c r="CL361" s="48"/>
      <c r="CM361" s="48"/>
      <c r="CN361" s="48"/>
      <c r="CO361" s="48"/>
    </row>
    <row r="362" ht="28.6" customHeight="1">
      <c r="CF362" t="s" s="11">
        <v>155</v>
      </c>
      <c r="CG362" s="55"/>
      <c r="CH362" s="48"/>
      <c r="CI362" s="48"/>
      <c r="CJ362" s="27"/>
      <c r="CK362" s="48"/>
      <c r="CL362" s="48"/>
      <c r="CM362" s="48"/>
      <c r="CN362" s="48"/>
      <c r="CO362" s="48"/>
    </row>
    <row r="363" ht="28.6" customHeight="1">
      <c r="CF363" t="s" s="11">
        <v>19</v>
      </c>
      <c r="CG363" s="55"/>
      <c r="CH363" s="48"/>
      <c r="CI363" s="48"/>
      <c r="CJ363" s="27"/>
      <c r="CK363" s="48"/>
      <c r="CL363" s="48"/>
      <c r="CM363" s="48"/>
      <c r="CN363" s="48"/>
      <c r="CO363" s="48"/>
    </row>
    <row r="364" ht="28.6" customHeight="1">
      <c r="CF364" t="s" s="95">
        <v>35</v>
      </c>
      <c r="CG364" s="55"/>
      <c r="CH364" s="48"/>
      <c r="CI364" s="48"/>
      <c r="CJ364" s="27"/>
      <c r="CK364" s="48"/>
      <c r="CL364" s="48"/>
      <c r="CM364" s="48"/>
      <c r="CN364" s="48"/>
      <c r="CO364" s="48"/>
    </row>
    <row r="365" ht="28.6" customHeight="1">
      <c r="CF365" t="s" s="95">
        <v>10</v>
      </c>
      <c r="CG365" s="55"/>
      <c r="CH365" s="48"/>
      <c r="CI365" s="48"/>
      <c r="CJ365" s="27"/>
      <c r="CK365" s="48"/>
      <c r="CL365" s="48"/>
      <c r="CM365" s="48"/>
      <c r="CN365" s="48"/>
      <c r="CO365" s="48"/>
    </row>
    <row r="366" ht="28.6" customHeight="1">
      <c r="CF366" t="s" s="95">
        <v>37</v>
      </c>
      <c r="CG366" s="55"/>
      <c r="CH366" s="48"/>
      <c r="CI366" s="48"/>
      <c r="CJ366" s="27"/>
      <c r="CK366" s="48"/>
      <c r="CL366" s="48"/>
      <c r="CM366" s="48"/>
      <c r="CN366" s="48"/>
      <c r="CO366" s="48"/>
    </row>
    <row r="367" ht="28.6" customHeight="1">
      <c r="CF367" t="s" s="11">
        <v>32</v>
      </c>
      <c r="CG367" s="55"/>
      <c r="CH367" s="48"/>
      <c r="CI367" s="48"/>
      <c r="CJ367" s="27"/>
      <c r="CK367" s="48"/>
      <c r="CL367" s="48"/>
      <c r="CM367" s="48"/>
      <c r="CN367" s="48"/>
      <c r="CO367" s="48"/>
    </row>
    <row r="368" ht="28.6" customHeight="1">
      <c r="CF368" t="s" s="172">
        <v>46</v>
      </c>
      <c r="CG368" s="55"/>
      <c r="CH368" s="48"/>
      <c r="CI368" s="48"/>
      <c r="CJ368" s="27"/>
      <c r="CK368" s="48"/>
      <c r="CL368" s="48"/>
      <c r="CM368" s="48"/>
      <c r="CN368" s="48"/>
      <c r="CO368" s="48"/>
    </row>
    <row r="369" ht="28.6" customHeight="1">
      <c r="CF369" t="s" s="172">
        <v>191</v>
      </c>
      <c r="CG369" s="55"/>
      <c r="CH369" s="48"/>
      <c r="CI369" s="48"/>
      <c r="CJ369" s="27"/>
      <c r="CK369" s="48"/>
      <c r="CL369" s="48"/>
      <c r="CM369" s="48"/>
      <c r="CN369" s="48"/>
      <c r="CO369" s="48"/>
    </row>
    <row r="370" ht="20.05" customHeight="1">
      <c r="CF370" t="s" s="32">
        <v>47</v>
      </c>
      <c r="CG370" s="55"/>
      <c r="CH370" s="48"/>
      <c r="CI370" s="48"/>
      <c r="CJ370" s="27"/>
      <c r="CK370" s="48"/>
      <c r="CL370" s="48"/>
      <c r="CM370" s="48"/>
      <c r="CN370" s="48"/>
      <c r="CO370" s="48"/>
    </row>
    <row r="371" ht="20.05" customHeight="1">
      <c r="CF371" t="s" s="32">
        <v>274</v>
      </c>
      <c r="CG371" s="55"/>
      <c r="CH371" s="48"/>
      <c r="CI371" s="48"/>
      <c r="CJ371" s="48"/>
      <c r="CK371" s="48"/>
      <c r="CL371" s="48"/>
      <c r="CM371" s="48"/>
      <c r="CN371" s="48"/>
      <c r="CO371" s="48"/>
    </row>
    <row r="372" ht="28.6" customHeight="1">
      <c r="CF372" t="s" s="32">
        <v>48</v>
      </c>
      <c r="CG372" s="193">
        <v>1</v>
      </c>
      <c r="CH372" s="48"/>
      <c r="CI372" s="189">
        <v>1</v>
      </c>
      <c r="CJ372" s="27"/>
      <c r="CK372" s="48"/>
      <c r="CL372" s="48"/>
      <c r="CM372" s="48"/>
      <c r="CN372" s="48"/>
      <c r="CO372" s="48"/>
    </row>
    <row r="373" ht="28.6" customHeight="1">
      <c r="CF373" t="s" s="32">
        <v>49</v>
      </c>
      <c r="CG373" s="193">
        <v>1</v>
      </c>
      <c r="CH373" s="48"/>
      <c r="CI373" s="189">
        <v>1</v>
      </c>
      <c r="CJ373" s="27"/>
      <c r="CK373" s="48"/>
      <c r="CL373" s="48"/>
      <c r="CM373" s="48"/>
      <c r="CN373" s="48"/>
      <c r="CO373" s="48"/>
    </row>
    <row r="374" ht="28.6" customHeight="1">
      <c r="CF374" t="s" s="32">
        <v>50</v>
      </c>
      <c r="CG374" s="55"/>
      <c r="CH374" s="48"/>
      <c r="CI374" s="48"/>
      <c r="CJ374" s="27"/>
      <c r="CK374" s="48"/>
      <c r="CL374" s="48"/>
      <c r="CM374" s="48"/>
      <c r="CN374" s="48"/>
      <c r="CO374" s="48"/>
    </row>
    <row r="375" ht="28.6" customHeight="1">
      <c r="CF375" t="s" s="32">
        <v>51</v>
      </c>
      <c r="CG375" s="55"/>
      <c r="CH375" s="48"/>
      <c r="CI375" s="48"/>
      <c r="CJ375" s="27"/>
      <c r="CK375" s="48"/>
      <c r="CL375" s="48"/>
      <c r="CM375" s="48"/>
      <c r="CN375" s="48"/>
      <c r="CO375" s="48"/>
    </row>
    <row r="376" ht="28.6" customHeight="1">
      <c r="CF376" t="s" s="32">
        <v>52</v>
      </c>
      <c r="CG376" s="55"/>
      <c r="CH376" s="48"/>
      <c r="CI376" s="48"/>
      <c r="CJ376" s="27"/>
      <c r="CK376" s="48"/>
      <c r="CL376" s="48"/>
      <c r="CM376" s="48"/>
      <c r="CN376" s="48"/>
      <c r="CO376" s="48"/>
    </row>
    <row r="377" ht="28.6" customHeight="1">
      <c r="CF377" t="s" s="32">
        <v>115</v>
      </c>
      <c r="CG377" s="55"/>
      <c r="CH377" s="48"/>
      <c r="CI377" s="189">
        <v>1</v>
      </c>
      <c r="CJ377" s="27"/>
      <c r="CK377" s="48"/>
      <c r="CL377" s="48"/>
      <c r="CM377" s="48"/>
      <c r="CN377" s="48"/>
      <c r="CO377" s="48"/>
    </row>
    <row r="378" ht="42.05" customHeight="1">
      <c r="CF378" t="s" s="32">
        <v>197</v>
      </c>
      <c r="CG378" s="55"/>
      <c r="CH378" s="48"/>
      <c r="CI378" s="48"/>
      <c r="CJ378" s="27"/>
      <c r="CK378" s="48"/>
      <c r="CL378" s="48"/>
      <c r="CM378" s="48"/>
      <c r="CN378" s="48"/>
      <c r="CO378" s="48"/>
    </row>
    <row r="379" ht="27.6" customHeight="1">
      <c r="CF379" t="s" s="32">
        <v>156</v>
      </c>
      <c r="CG379" s="55"/>
      <c r="CH379" s="48"/>
      <c r="CI379" s="48"/>
      <c r="CJ379" s="27"/>
      <c r="CK379" s="48"/>
      <c r="CL379" s="48"/>
      <c r="CM379" s="48"/>
      <c r="CN379" s="48"/>
      <c r="CO379" s="48"/>
    </row>
    <row r="380" ht="27.6" customHeight="1">
      <c r="CF380" t="s" s="32">
        <v>239</v>
      </c>
      <c r="CG380" s="55"/>
      <c r="CH380" s="48"/>
      <c r="CI380" s="48"/>
      <c r="CJ380" s="27"/>
      <c r="CK380" s="48"/>
      <c r="CL380" s="48"/>
      <c r="CM380" s="48"/>
      <c r="CN380" s="48"/>
      <c r="CO380" s="48"/>
    </row>
    <row r="381" ht="27.6" customHeight="1">
      <c r="CF381" t="s" s="32">
        <v>242</v>
      </c>
      <c r="CG381" s="55"/>
      <c r="CH381" s="48"/>
      <c r="CI381" s="48"/>
      <c r="CJ381" s="27"/>
      <c r="CK381" s="48"/>
      <c r="CL381" s="48"/>
      <c r="CM381" s="48"/>
      <c r="CN381" s="48"/>
      <c r="CO381" s="48"/>
    </row>
    <row r="382" ht="27.6" customHeight="1">
      <c r="CF382" t="s" s="32">
        <v>244</v>
      </c>
      <c r="CG382" s="55"/>
      <c r="CH382" s="48"/>
      <c r="CI382" s="48"/>
      <c r="CJ382" s="27"/>
      <c r="CK382" s="48"/>
      <c r="CL382" s="48"/>
      <c r="CM382" s="48"/>
      <c r="CN382" s="48"/>
      <c r="CO382" s="48"/>
    </row>
    <row r="383" ht="27.6" customHeight="1">
      <c r="CF383" t="s" s="32">
        <v>250</v>
      </c>
      <c r="CG383" s="55"/>
      <c r="CH383" s="48"/>
      <c r="CI383" s="48"/>
      <c r="CJ383" s="27"/>
      <c r="CK383" s="48"/>
      <c r="CL383" s="48"/>
      <c r="CM383" s="48"/>
      <c r="CN383" s="48"/>
      <c r="CO383" s="48"/>
    </row>
    <row r="384" ht="27.6" customHeight="1">
      <c r="CF384" s="206"/>
      <c r="CG384" s="55"/>
      <c r="CH384" s="48"/>
      <c r="CI384" s="48"/>
      <c r="CJ384" s="27"/>
      <c r="CK384" s="48"/>
      <c r="CL384" s="48"/>
      <c r="CM384" s="48"/>
      <c r="CN384" s="48"/>
      <c r="CO384" s="48"/>
    </row>
    <row r="385" ht="27.6" customHeight="1">
      <c r="CF385" t="s" s="32">
        <v>292</v>
      </c>
      <c r="CG385" s="55"/>
      <c r="CH385" s="48"/>
      <c r="CI385" s="48"/>
      <c r="CJ385" s="27"/>
      <c r="CK385" s="48"/>
      <c r="CL385" s="48"/>
      <c r="CM385" s="48"/>
      <c r="CN385" s="48"/>
      <c r="CO385" s="48"/>
    </row>
    <row r="386" ht="27.6" customHeight="1">
      <c r="CF386" t="s" s="32">
        <v>257</v>
      </c>
      <c r="CG386" s="55"/>
      <c r="CH386" s="48"/>
      <c r="CI386" s="48"/>
      <c r="CJ386" s="27"/>
      <c r="CK386" s="48"/>
      <c r="CL386" s="48"/>
      <c r="CM386" s="48"/>
      <c r="CN386" s="48"/>
      <c r="CO386" s="48"/>
    </row>
    <row r="387" ht="27.6" customHeight="1">
      <c r="CF387" t="s" s="32">
        <v>259</v>
      </c>
      <c r="CG387" s="55"/>
      <c r="CH387" s="48"/>
      <c r="CI387" s="48"/>
      <c r="CJ387" s="27"/>
      <c r="CK387" s="48"/>
      <c r="CL387" s="48"/>
      <c r="CM387" s="48"/>
      <c r="CN387" s="48"/>
      <c r="CO387" s="48"/>
    </row>
    <row r="388" ht="27.6" customHeight="1">
      <c r="CF388" t="s" s="32">
        <v>262</v>
      </c>
      <c r="CG388" s="55"/>
      <c r="CH388" s="48"/>
      <c r="CI388" s="48"/>
      <c r="CJ388" s="27"/>
      <c r="CK388" s="48"/>
      <c r="CL388" s="48"/>
      <c r="CM388" s="48"/>
      <c r="CN388" s="48"/>
      <c r="CO388" s="48"/>
    </row>
    <row r="389" ht="27.6" customHeight="1">
      <c r="CF389" t="s" s="32">
        <v>265</v>
      </c>
      <c r="CG389" s="55"/>
      <c r="CH389" s="48"/>
      <c r="CI389" s="48"/>
      <c r="CJ389" s="27"/>
      <c r="CK389" s="48"/>
      <c r="CL389" s="48"/>
      <c r="CM389" s="48"/>
      <c r="CN389" s="48"/>
      <c r="CO389" s="48"/>
    </row>
    <row r="390" ht="27.6" customHeight="1">
      <c r="CF390" t="s" s="32">
        <v>268</v>
      </c>
      <c r="CG390" s="55"/>
      <c r="CH390" s="48"/>
      <c r="CI390" s="48"/>
      <c r="CJ390" s="27"/>
      <c r="CK390" s="48"/>
      <c r="CL390" s="48"/>
      <c r="CM390" s="48"/>
      <c r="CN390" s="48"/>
      <c r="CO390" s="48"/>
    </row>
    <row r="391" ht="27.6" customHeight="1">
      <c r="CF391" t="s" s="32">
        <v>270</v>
      </c>
      <c r="CG391" s="55"/>
      <c r="CH391" s="48"/>
      <c r="CI391" s="48"/>
      <c r="CJ391" s="27"/>
      <c r="CK391" s="48"/>
      <c r="CL391" s="48"/>
      <c r="CM391" s="48"/>
      <c r="CN391" s="48"/>
      <c r="CO391" s="48"/>
    </row>
    <row r="392" ht="27.6" customHeight="1">
      <c r="CF392" t="s" s="32">
        <v>272</v>
      </c>
      <c r="CG392" s="55"/>
      <c r="CH392" s="48"/>
      <c r="CI392" s="48"/>
      <c r="CJ392" s="27"/>
      <c r="CK392" s="48"/>
      <c r="CL392" s="48"/>
      <c r="CM392" s="48"/>
      <c r="CN392" s="48"/>
      <c r="CO392" s="48"/>
    </row>
    <row r="393" ht="28.45" customHeight="1">
      <c r="CF393" t="s" s="32">
        <v>102</v>
      </c>
      <c r="CG393" s="55"/>
      <c r="CH393" s="48"/>
      <c r="CI393" s="48"/>
      <c r="CJ393" s="27"/>
      <c r="CK393" s="48"/>
      <c r="CL393" s="48"/>
      <c r="CM393" s="48"/>
      <c r="CN393" s="48"/>
      <c r="CO393" s="48"/>
    </row>
    <row r="394" ht="21.8" customHeight="1">
      <c r="CF394" t="s" s="49">
        <v>30</v>
      </c>
      <c r="CG394" s="12" cm="1">
        <f t="array" ref="CG394">SUM(CG355:CG393)</f>
        <v>2</v>
      </c>
      <c r="CH394" s="24" cm="1">
        <f t="array" ref="CH394">SUM(CH355:CH393)</f>
        <v>0</v>
      </c>
      <c r="CI394" s="24" cm="1">
        <f t="array" ref="CI394">SUM(CI355:CI393)</f>
        <v>3</v>
      </c>
      <c r="CJ394" s="24" cm="1">
        <f t="array" ref="CJ394">SUM(CJ355)</f>
        <v>0</v>
      </c>
      <c r="CK394" s="24" cm="1">
        <f t="array" ref="CK394">SUM(CK355:CK393)</f>
        <v>0</v>
      </c>
      <c r="CL394" s="24" cm="1">
        <f t="array" ref="CL394">SUM(CL355:CL393)</f>
        <v>0</v>
      </c>
      <c r="CM394" s="24" cm="1">
        <f t="array" ref="CM394">SUM(CG394:CL394)</f>
        <v>5</v>
      </c>
      <c r="CN394" s="24" cm="1">
        <f t="array" ref="CN394">SUM(CN355:CN393)</f>
        <v>0</v>
      </c>
      <c r="CO394" s="24" cm="1">
        <f t="array" ref="CO394">SUM(CO355:CO393)</f>
        <v>0</v>
      </c>
    </row>
    <row r="396" ht="27.65" customHeight="1">
      <c r="CP396" t="s" s="2">
        <v>94</v>
      </c>
      <c r="CQ396" s="2"/>
      <c r="CR396" s="2"/>
      <c r="CS396" s="2"/>
      <c r="CT396" s="2"/>
      <c r="CU396" s="2"/>
      <c r="CV396" s="2"/>
      <c r="CW396" s="2"/>
      <c r="CX396" s="2"/>
      <c r="CY396" s="2"/>
    </row>
    <row r="397" ht="48.15" customHeight="1">
      <c r="CP397" s="35"/>
      <c r="CQ397" t="s" s="3">
        <v>340</v>
      </c>
      <c r="CR397" t="s" s="3">
        <v>341</v>
      </c>
      <c r="CS397" t="s" s="3">
        <v>342</v>
      </c>
      <c r="CT397" t="s" s="3">
        <v>343</v>
      </c>
      <c r="CU397" t="s" s="3">
        <v>344</v>
      </c>
      <c r="CV397" t="s" s="3">
        <v>345</v>
      </c>
      <c r="CW397" t="s" s="3">
        <v>53</v>
      </c>
      <c r="CX397" t="s" s="3">
        <v>67</v>
      </c>
      <c r="CY397" t="s" s="3">
        <v>160</v>
      </c>
    </row>
    <row r="398" ht="30.25" customHeight="1">
      <c r="CP398" t="s" s="6">
        <v>16</v>
      </c>
      <c r="CQ398" s="243">
        <v>1</v>
      </c>
      <c r="CR398" s="232">
        <v>1</v>
      </c>
      <c r="CS398" s="232">
        <v>1</v>
      </c>
      <c r="CT398" s="232">
        <v>1</v>
      </c>
      <c r="CU398" s="123"/>
      <c r="CV398" s="123"/>
      <c r="CW398" s="47" cm="1">
        <f t="array" ref="CW398">SUM(CQ398:CV398)</f>
        <v>4</v>
      </c>
      <c r="CX398" s="37"/>
      <c r="CY398" s="37"/>
    </row>
    <row r="399" ht="29.95" customHeight="1">
      <c r="CP399" t="s" s="11">
        <v>18</v>
      </c>
      <c r="CQ399" s="55"/>
      <c r="CR399" s="48"/>
      <c r="CS399" s="48"/>
      <c r="CT399" s="48"/>
      <c r="CU399" s="48"/>
      <c r="CV399" s="48"/>
      <c r="CW399" s="24" cm="1">
        <f t="array" ref="CW399">SUM(CQ399:CV399)</f>
        <v>0</v>
      </c>
      <c r="CX399" s="19"/>
      <c r="CY399" s="19"/>
    </row>
    <row r="400" ht="29.95" customHeight="1">
      <c r="CP400" t="s" s="11">
        <v>287</v>
      </c>
      <c r="CQ400" s="55"/>
      <c r="CR400" s="48"/>
      <c r="CS400" s="48"/>
      <c r="CT400" s="48"/>
      <c r="CU400" s="48"/>
      <c r="CV400" s="48"/>
      <c r="CW400" s="24" cm="1">
        <f t="array" ref="CW400">SUM(CQ400:CV400)</f>
        <v>0</v>
      </c>
      <c r="CX400" s="19"/>
      <c r="CY400" s="19"/>
    </row>
    <row r="401" ht="47.85" customHeight="1">
      <c r="CP401" t="s" s="11">
        <v>27</v>
      </c>
      <c r="CQ401" s="55"/>
      <c r="CR401" s="48"/>
      <c r="CS401" s="48"/>
      <c r="CT401" s="78"/>
      <c r="CU401" s="48"/>
      <c r="CV401" s="48"/>
      <c r="CW401" s="24" cm="1">
        <f t="array" ref="CW401">SUM(CQ401:CV401)</f>
        <v>0</v>
      </c>
      <c r="CX401" s="19"/>
      <c r="CY401" s="19"/>
    </row>
    <row r="402" ht="29.95" customHeight="1">
      <c r="CP402" t="s" s="32">
        <v>109</v>
      </c>
      <c r="CQ402" s="55"/>
      <c r="CR402" s="48"/>
      <c r="CS402" s="234">
        <v>1</v>
      </c>
      <c r="CT402" s="48"/>
      <c r="CU402" s="48"/>
      <c r="CV402" s="48"/>
      <c r="CW402" s="24" cm="1">
        <f t="array" ref="CW402">SUM(CQ402:CV402)</f>
        <v>1</v>
      </c>
      <c r="CX402" s="19"/>
      <c r="CY402" s="19"/>
    </row>
    <row r="403" ht="29.95" customHeight="1">
      <c r="CP403" t="s" s="11">
        <v>45</v>
      </c>
      <c r="CQ403" s="233">
        <v>1</v>
      </c>
      <c r="CR403" s="48"/>
      <c r="CS403" s="78"/>
      <c r="CT403" s="234">
        <v>1</v>
      </c>
      <c r="CU403" s="234">
        <v>1</v>
      </c>
      <c r="CV403" s="48"/>
      <c r="CW403" s="24" cm="1">
        <f t="array" ref="CW403">SUM(CQ403:CV403)</f>
        <v>3</v>
      </c>
      <c r="CX403" s="19"/>
      <c r="CY403" s="19"/>
    </row>
    <row r="404" ht="29.95" customHeight="1">
      <c r="CP404" t="s" s="172">
        <v>46</v>
      </c>
      <c r="CQ404" s="233">
        <v>1</v>
      </c>
      <c r="CR404" s="48"/>
      <c r="CS404" s="48"/>
      <c r="CT404" s="234">
        <v>1</v>
      </c>
      <c r="CU404" s="234">
        <v>1</v>
      </c>
      <c r="CV404" s="48"/>
      <c r="CW404" s="24" cm="1">
        <f t="array" ref="CW404">SUM(CQ404:CV404)</f>
        <v>3</v>
      </c>
      <c r="CX404" s="19"/>
      <c r="CY404" s="19"/>
    </row>
    <row r="405" ht="29.95" customHeight="1">
      <c r="CP405" t="s" s="172">
        <v>191</v>
      </c>
      <c r="CQ405" s="233">
        <v>1</v>
      </c>
      <c r="CR405" s="48"/>
      <c r="CS405" s="48"/>
      <c r="CT405" s="234">
        <v>1</v>
      </c>
      <c r="CU405" s="234">
        <v>1</v>
      </c>
      <c r="CV405" s="48"/>
      <c r="CW405" s="24" cm="1">
        <f t="array" ref="CW405">SUM(CQ405:CV405)</f>
        <v>3</v>
      </c>
      <c r="CX405" s="19"/>
      <c r="CY405" s="19"/>
    </row>
    <row r="406" ht="29.95" customHeight="1">
      <c r="CP406" t="s" s="11">
        <v>154</v>
      </c>
      <c r="CQ406" s="233">
        <v>1</v>
      </c>
      <c r="CR406" s="48"/>
      <c r="CS406" s="48"/>
      <c r="CT406" s="234">
        <v>1</v>
      </c>
      <c r="CU406" s="234">
        <v>1</v>
      </c>
      <c r="CV406" s="48"/>
      <c r="CW406" s="24" cm="1">
        <f t="array" ref="CW406">SUM(CQ406:CV406)</f>
        <v>3</v>
      </c>
      <c r="CX406" s="19"/>
      <c r="CY406" s="19"/>
    </row>
    <row r="407" ht="29.95" customHeight="1">
      <c r="CP407" t="s" s="11">
        <v>155</v>
      </c>
      <c r="CQ407" s="233">
        <v>1</v>
      </c>
      <c r="CR407" s="48"/>
      <c r="CS407" s="48"/>
      <c r="CT407" s="78"/>
      <c r="CU407" s="234">
        <v>1</v>
      </c>
      <c r="CV407" s="48"/>
      <c r="CW407" s="24" cm="1">
        <f t="array" ref="CW407">SUM(CQ407:CV407)</f>
        <v>2</v>
      </c>
      <c r="CX407" s="19"/>
      <c r="CY407" s="19"/>
    </row>
    <row r="408" ht="29.95" customHeight="1">
      <c r="CP408" t="s" s="11">
        <v>19</v>
      </c>
      <c r="CQ408" s="55"/>
      <c r="CR408" s="48"/>
      <c r="CS408" s="48"/>
      <c r="CT408" s="78"/>
      <c r="CU408" s="48"/>
      <c r="CV408" s="48"/>
      <c r="CW408" s="24" cm="1">
        <f t="array" ref="CW408">SUM(CQ408:CV408)</f>
        <v>0</v>
      </c>
      <c r="CX408" s="19"/>
      <c r="CY408" s="19"/>
    </row>
    <row r="409" ht="29.95" customHeight="1">
      <c r="CP409" t="s" s="95">
        <v>35</v>
      </c>
      <c r="CQ409" s="55"/>
      <c r="CR409" s="48"/>
      <c r="CS409" s="48"/>
      <c r="CT409" s="78"/>
      <c r="CU409" s="48"/>
      <c r="CV409" s="48"/>
      <c r="CW409" s="24" cm="1">
        <f t="array" ref="CW409">SUM(CQ409:CV409)</f>
        <v>0</v>
      </c>
      <c r="CX409" s="19"/>
      <c r="CY409" s="19"/>
    </row>
    <row r="410" ht="29.95" customHeight="1">
      <c r="CP410" t="s" s="95">
        <v>10</v>
      </c>
      <c r="CQ410" s="55"/>
      <c r="CR410" s="235">
        <v>1</v>
      </c>
      <c r="CS410" s="235">
        <v>1</v>
      </c>
      <c r="CT410" s="235">
        <v>1</v>
      </c>
      <c r="CU410" s="235">
        <v>1</v>
      </c>
      <c r="CV410" s="48"/>
      <c r="CW410" s="24" cm="1">
        <f t="array" ref="CW410">SUM(CQ410:CV410)</f>
        <v>4</v>
      </c>
      <c r="CX410" s="19"/>
      <c r="CY410" s="19"/>
    </row>
    <row r="411" ht="29.95" customHeight="1">
      <c r="CP411" t="s" s="95">
        <v>37</v>
      </c>
      <c r="CQ411" s="236">
        <v>1</v>
      </c>
      <c r="CR411" s="235">
        <v>1</v>
      </c>
      <c r="CS411" s="48"/>
      <c r="CT411" s="78"/>
      <c r="CU411" s="48"/>
      <c r="CV411" s="48"/>
      <c r="CW411" s="24" cm="1">
        <f t="array" ref="CW411">SUM(CQ411:CV411)</f>
        <v>2</v>
      </c>
      <c r="CX411" s="19"/>
      <c r="CY411" s="19"/>
    </row>
    <row r="412" ht="29.95" customHeight="1">
      <c r="CP412" t="s" s="11">
        <v>32</v>
      </c>
      <c r="CQ412" s="233">
        <v>1</v>
      </c>
      <c r="CR412" s="234">
        <v>1</v>
      </c>
      <c r="CS412" s="48"/>
      <c r="CT412" s="78"/>
      <c r="CU412" s="48"/>
      <c r="CV412" s="48"/>
      <c r="CW412" s="24" cm="1">
        <f t="array" ref="CW412">SUM(CQ412:CV412)</f>
        <v>2</v>
      </c>
      <c r="CX412" s="19"/>
      <c r="CY412" s="19"/>
    </row>
    <row r="413" ht="29.95" customHeight="1">
      <c r="CP413" t="s" s="32">
        <v>156</v>
      </c>
      <c r="CQ413" s="55"/>
      <c r="CR413" s="48"/>
      <c r="CS413" s="48"/>
      <c r="CT413" s="78"/>
      <c r="CU413" s="234">
        <v>1</v>
      </c>
      <c r="CV413" s="48"/>
      <c r="CW413" s="24" cm="1">
        <f t="array" ref="CW413">SUM(CQ413:CV413)</f>
        <v>1</v>
      </c>
      <c r="CX413" s="19"/>
      <c r="CY413" s="19"/>
    </row>
    <row r="414" ht="29.95" customHeight="1">
      <c r="CP414" t="s" s="32">
        <v>47</v>
      </c>
      <c r="CQ414" s="233">
        <v>1</v>
      </c>
      <c r="CR414" s="234">
        <v>1</v>
      </c>
      <c r="CS414" s="234">
        <v>1</v>
      </c>
      <c r="CT414" s="78"/>
      <c r="CU414" s="48"/>
      <c r="CV414" s="234">
        <v>1</v>
      </c>
      <c r="CW414" s="24" cm="1">
        <f t="array" ref="CW414">SUM(CQ414:CV414)</f>
        <v>4</v>
      </c>
      <c r="CX414" s="19"/>
      <c r="CY414" s="19"/>
    </row>
    <row r="415" ht="29.95" customHeight="1">
      <c r="CP415" t="s" s="32">
        <v>274</v>
      </c>
      <c r="CQ415" s="55"/>
      <c r="CR415" s="48"/>
      <c r="CS415" s="234">
        <v>1</v>
      </c>
      <c r="CT415" s="48"/>
      <c r="CU415" s="48"/>
      <c r="CV415" s="48"/>
      <c r="CW415" s="24" cm="1">
        <f t="array" ref="CW415">SUM(CQ415:CV415)</f>
        <v>1</v>
      </c>
      <c r="CX415" s="19"/>
      <c r="CY415" s="19"/>
    </row>
    <row r="416" ht="31.75" customHeight="1">
      <c r="CP416" t="s" s="32">
        <v>48</v>
      </c>
      <c r="CQ416" s="240">
        <v>1</v>
      </c>
      <c r="CR416" s="48"/>
      <c r="CS416" s="237">
        <v>1</v>
      </c>
      <c r="CT416" s="78"/>
      <c r="CU416" s="48"/>
      <c r="CV416" s="48"/>
      <c r="CW416" s="24" cm="1">
        <f t="array" ref="CW416">SUM(CQ416:CV416)</f>
        <v>2</v>
      </c>
      <c r="CX416" s="19"/>
      <c r="CY416" s="19"/>
    </row>
    <row r="417" ht="29.95" customHeight="1">
      <c r="CP417" t="s" s="32">
        <v>49</v>
      </c>
      <c r="CQ417" s="240">
        <v>1</v>
      </c>
      <c r="CR417" s="48"/>
      <c r="CS417" s="237">
        <v>1</v>
      </c>
      <c r="CT417" s="48"/>
      <c r="CU417" s="48"/>
      <c r="CV417" s="48"/>
      <c r="CW417" s="24" cm="1">
        <f t="array" ref="CW417">SUM(CQ417:CV417)</f>
        <v>2</v>
      </c>
      <c r="CX417" s="19"/>
      <c r="CY417" s="19"/>
    </row>
    <row r="418" ht="29.95" customHeight="1">
      <c r="CP418" t="s" s="32">
        <v>50</v>
      </c>
      <c r="CQ418" s="55"/>
      <c r="CR418" s="48"/>
      <c r="CS418" s="48"/>
      <c r="CT418" s="78"/>
      <c r="CU418" s="48"/>
      <c r="CV418" s="48"/>
      <c r="CW418" s="24" cm="1">
        <f t="array" ref="CW418">SUM(CQ418:CV418)</f>
        <v>0</v>
      </c>
      <c r="CX418" s="19"/>
      <c r="CY418" s="19"/>
    </row>
    <row r="419" ht="29.95" customHeight="1">
      <c r="CP419" t="s" s="32">
        <v>51</v>
      </c>
      <c r="CQ419" s="55"/>
      <c r="CR419" s="48"/>
      <c r="CS419" s="48"/>
      <c r="CT419" s="78"/>
      <c r="CU419" s="48"/>
      <c r="CV419" s="48"/>
      <c r="CW419" s="24" cm="1">
        <f t="array" ref="CW419">SUM(CQ419:CV419)</f>
        <v>0</v>
      </c>
      <c r="CX419" s="19"/>
      <c r="CY419" s="19"/>
    </row>
    <row r="420" ht="29.95" customHeight="1">
      <c r="CP420" t="s" s="32">
        <v>52</v>
      </c>
      <c r="CQ420" s="55"/>
      <c r="CR420" s="48"/>
      <c r="CS420" s="48"/>
      <c r="CT420" s="78"/>
      <c r="CU420" s="48"/>
      <c r="CV420" s="48"/>
      <c r="CW420" s="24" cm="1">
        <f t="array" ref="CW420">SUM(CQ420:CV420)</f>
        <v>0</v>
      </c>
      <c r="CX420" s="19"/>
      <c r="CY420" s="19"/>
    </row>
    <row r="421" ht="29.95" customHeight="1">
      <c r="CP421" t="s" s="32">
        <v>115</v>
      </c>
      <c r="CQ421" s="55"/>
      <c r="CR421" s="48"/>
      <c r="CS421" s="237">
        <v>1</v>
      </c>
      <c r="CT421" s="78"/>
      <c r="CU421" s="48"/>
      <c r="CV421" s="48"/>
      <c r="CW421" s="24" cm="1">
        <f t="array" ref="CW421">SUM(CQ421:CV421)</f>
        <v>1</v>
      </c>
      <c r="CX421" s="24">
        <v>1</v>
      </c>
      <c r="CY421" s="19"/>
    </row>
    <row r="422" ht="29.95" customHeight="1">
      <c r="CP422" t="s" s="32">
        <v>197</v>
      </c>
      <c r="CQ422" s="55"/>
      <c r="CR422" s="48"/>
      <c r="CS422" s="48"/>
      <c r="CT422" s="78"/>
      <c r="CU422" s="48"/>
      <c r="CV422" s="48"/>
      <c r="CW422" s="24" cm="1">
        <f t="array" ref="CW422">SUM(CQ422:CV422)</f>
        <v>0</v>
      </c>
      <c r="CX422" s="19"/>
      <c r="CY422" s="19"/>
    </row>
    <row r="423" ht="29.95" customHeight="1">
      <c r="CP423" t="s" s="32">
        <v>239</v>
      </c>
      <c r="CQ423" s="55"/>
      <c r="CR423" s="48"/>
      <c r="CS423" s="48"/>
      <c r="CT423" s="78"/>
      <c r="CU423" s="48"/>
      <c r="CV423" s="48"/>
      <c r="CW423" s="24" cm="1">
        <f t="array" ref="CW423">SUM(CQ423:CV423)</f>
        <v>0</v>
      </c>
      <c r="CX423" s="19"/>
      <c r="CY423" s="19"/>
    </row>
    <row r="424" ht="29.95" customHeight="1">
      <c r="CP424" t="s" s="32">
        <v>242</v>
      </c>
      <c r="CQ424" s="55"/>
      <c r="CR424" s="48"/>
      <c r="CS424" s="48"/>
      <c r="CT424" s="78"/>
      <c r="CU424" s="48"/>
      <c r="CV424" s="48"/>
      <c r="CW424" s="24" cm="1">
        <f t="array" ref="CW424">SUM(CQ424:CV424)</f>
        <v>0</v>
      </c>
      <c r="CX424" s="19"/>
      <c r="CY424" s="19"/>
    </row>
    <row r="425" ht="29.95" customHeight="1">
      <c r="CP425" t="s" s="32">
        <v>244</v>
      </c>
      <c r="CQ425" s="55"/>
      <c r="CR425" s="48"/>
      <c r="CS425" s="234">
        <v>1</v>
      </c>
      <c r="CT425" s="234">
        <v>1</v>
      </c>
      <c r="CU425" s="48"/>
      <c r="CV425" s="48"/>
      <c r="CW425" s="24" cm="1">
        <f t="array" ref="CW425">SUM(CQ425:CV425)</f>
        <v>2</v>
      </c>
      <c r="CX425" s="19"/>
      <c r="CY425" s="19"/>
    </row>
    <row r="426" ht="29.95" customHeight="1">
      <c r="CP426" t="s" s="32">
        <v>250</v>
      </c>
      <c r="CQ426" s="233">
        <v>1</v>
      </c>
      <c r="CR426" s="234">
        <v>1</v>
      </c>
      <c r="CS426" s="234">
        <v>1</v>
      </c>
      <c r="CT426" s="234">
        <v>1</v>
      </c>
      <c r="CU426" s="234">
        <v>1</v>
      </c>
      <c r="CV426" s="48"/>
      <c r="CW426" s="24" cm="1">
        <f t="array" ref="CW426">SUM(CQ426:CV426)</f>
        <v>5</v>
      </c>
      <c r="CX426" s="19"/>
      <c r="CY426" s="19"/>
    </row>
    <row r="427" ht="29.95" customHeight="1">
      <c r="CP427" t="s" s="32">
        <v>319</v>
      </c>
      <c r="CQ427" s="55"/>
      <c r="CR427" s="234">
        <v>1</v>
      </c>
      <c r="CS427" s="48"/>
      <c r="CT427" s="78"/>
      <c r="CU427" s="48"/>
      <c r="CV427" s="48"/>
      <c r="CW427" s="24" cm="1">
        <f t="array" ref="CW427">SUM(CQ427:CV427)</f>
        <v>1</v>
      </c>
      <c r="CX427" s="19"/>
      <c r="CY427" s="19"/>
    </row>
    <row r="428" ht="29.95" customHeight="1">
      <c r="CP428" t="s" s="32">
        <v>292</v>
      </c>
      <c r="CQ428" s="233">
        <v>1</v>
      </c>
      <c r="CR428" s="48"/>
      <c r="CS428" s="234">
        <v>1</v>
      </c>
      <c r="CT428" s="78"/>
      <c r="CU428" s="48"/>
      <c r="CV428" s="234">
        <v>1</v>
      </c>
      <c r="CW428" s="24" cm="1">
        <f t="array" ref="CW428">SUM(CQ428:CV428)</f>
        <v>3</v>
      </c>
      <c r="CX428" s="19"/>
      <c r="CY428" s="19"/>
    </row>
    <row r="429" ht="29.95" customHeight="1">
      <c r="CP429" t="s" s="32">
        <v>257</v>
      </c>
      <c r="CQ429" s="233">
        <v>1</v>
      </c>
      <c r="CR429" s="234">
        <v>1</v>
      </c>
      <c r="CS429" s="234">
        <v>1</v>
      </c>
      <c r="CT429" s="78"/>
      <c r="CU429" s="234">
        <v>1</v>
      </c>
      <c r="CV429" s="48"/>
      <c r="CW429" s="24" cm="1">
        <f t="array" ref="CW429">SUM(CQ429:CV429)</f>
        <v>4</v>
      </c>
      <c r="CX429" s="19"/>
      <c r="CY429" s="19"/>
    </row>
    <row r="430" ht="29.95" customHeight="1">
      <c r="CP430" t="s" s="32">
        <v>259</v>
      </c>
      <c r="CQ430" s="55"/>
      <c r="CR430" s="48"/>
      <c r="CS430" s="48"/>
      <c r="CT430" s="78"/>
      <c r="CU430" s="48"/>
      <c r="CV430" s="48"/>
      <c r="CW430" s="24" cm="1">
        <f t="array" ref="CW430">SUM(CQ430:CV430)</f>
        <v>0</v>
      </c>
      <c r="CX430" s="19"/>
      <c r="CY430" s="19"/>
    </row>
    <row r="431" ht="29.95" customHeight="1">
      <c r="CP431" t="s" s="32">
        <v>262</v>
      </c>
      <c r="CQ431" s="233">
        <v>1</v>
      </c>
      <c r="CR431" s="234">
        <v>1</v>
      </c>
      <c r="CS431" s="48"/>
      <c r="CT431" s="234">
        <v>1</v>
      </c>
      <c r="CU431" s="234">
        <v>1</v>
      </c>
      <c r="CV431" s="48"/>
      <c r="CW431" s="24" cm="1">
        <f t="array" ref="CW431">SUM(CQ431:CV431)</f>
        <v>4</v>
      </c>
      <c r="CX431" s="19"/>
      <c r="CY431" s="19"/>
    </row>
    <row r="432" ht="29.95" customHeight="1">
      <c r="CP432" t="s" s="32">
        <v>265</v>
      </c>
      <c r="CQ432" s="233">
        <v>1</v>
      </c>
      <c r="CR432" s="48"/>
      <c r="CS432" s="234">
        <v>1</v>
      </c>
      <c r="CT432" s="78"/>
      <c r="CU432" s="234">
        <v>1</v>
      </c>
      <c r="CV432" s="234">
        <v>1</v>
      </c>
      <c r="CW432" s="24" cm="1">
        <f t="array" ref="CW432">SUM(CQ432:CV432)</f>
        <v>4</v>
      </c>
      <c r="CX432" s="19"/>
      <c r="CY432" s="19"/>
    </row>
    <row r="433" ht="29.95" customHeight="1">
      <c r="CP433" t="s" s="32">
        <v>268</v>
      </c>
      <c r="CQ433" s="55"/>
      <c r="CR433" s="48"/>
      <c r="CS433" s="234">
        <v>1</v>
      </c>
      <c r="CT433" s="78"/>
      <c r="CU433" s="234">
        <v>1</v>
      </c>
      <c r="CV433" s="48"/>
      <c r="CW433" s="24" cm="1">
        <f t="array" ref="CW433">SUM(CQ433:CV433)</f>
        <v>2</v>
      </c>
      <c r="CX433" s="19"/>
      <c r="CY433" s="19"/>
    </row>
    <row r="434" ht="29.95" customHeight="1">
      <c r="CP434" t="s" s="32">
        <v>270</v>
      </c>
      <c r="CQ434" s="233">
        <v>1</v>
      </c>
      <c r="CR434" s="234">
        <v>1</v>
      </c>
      <c r="CS434" s="234">
        <v>1</v>
      </c>
      <c r="CT434" s="78"/>
      <c r="CU434" s="48"/>
      <c r="CV434" s="48"/>
      <c r="CW434" s="24" cm="1">
        <f t="array" ref="CW434">SUM(CQ434:CV434)</f>
        <v>3</v>
      </c>
      <c r="CX434" s="19"/>
      <c r="CY434" s="19"/>
    </row>
    <row r="435" ht="29.95" customHeight="1">
      <c r="CP435" t="s" s="32">
        <v>272</v>
      </c>
      <c r="CQ435" s="55"/>
      <c r="CR435" s="48"/>
      <c r="CS435" s="48"/>
      <c r="CT435" s="78"/>
      <c r="CU435" s="48"/>
      <c r="CV435" s="48"/>
      <c r="CW435" s="24" cm="1">
        <f t="array" ref="CW435">SUM(CQ435:CV435)</f>
        <v>0</v>
      </c>
      <c r="CX435" s="19"/>
      <c r="CY435" s="19"/>
    </row>
    <row r="436" ht="29.95" customHeight="1">
      <c r="CP436" t="s" s="32">
        <v>102</v>
      </c>
      <c r="CQ436" s="55"/>
      <c r="CR436" s="48"/>
      <c r="CS436" s="48"/>
      <c r="CT436" s="48"/>
      <c r="CU436" s="48"/>
      <c r="CV436" s="48"/>
      <c r="CW436" s="24" cm="1">
        <f t="array" ref="CW436">SUM(CQ436:CV436)</f>
        <v>0</v>
      </c>
      <c r="CX436" s="19"/>
      <c r="CY436" s="19"/>
    </row>
    <row r="437" ht="29.95" customHeight="1">
      <c r="CP437" t="s" s="49">
        <v>30</v>
      </c>
      <c r="CQ437" s="12" cm="1">
        <f t="array" ref="CQ437">SUM(CQ398:CQ436)</f>
        <v>17</v>
      </c>
      <c r="CR437" s="24" cm="1">
        <f t="array" ref="CR437">SUM(CR398:CR436)</f>
        <v>10</v>
      </c>
      <c r="CS437" s="24" cm="1">
        <f t="array" ref="CS437">SUM(CS398:CS436)</f>
        <v>15</v>
      </c>
      <c r="CT437" s="24" cm="1">
        <f t="array" ref="CT437">SUM(CT398:CT436)</f>
        <v>9</v>
      </c>
      <c r="CU437" s="24" cm="1">
        <f t="array" ref="CU437">SUM(CU398:CU436)</f>
        <v>12</v>
      </c>
      <c r="CV437" s="24" cm="1">
        <f t="array" ref="CV437">SUM(CV398:CV436)</f>
        <v>3</v>
      </c>
      <c r="CW437" s="24" cm="1">
        <f t="array" ref="CW437">SUM(CW398:CW436)</f>
        <v>66</v>
      </c>
      <c r="CX437" s="19"/>
      <c r="CY437" s="19"/>
    </row>
    <row r="439" ht="27.65" customHeight="1">
      <c r="CZ439" t="s" s="2">
        <v>150</v>
      </c>
      <c r="DA439" s="2"/>
      <c r="DB439" s="2"/>
      <c r="DC439" s="2"/>
      <c r="DD439" s="2"/>
      <c r="DE439" s="2"/>
      <c r="DF439" s="2"/>
      <c r="DG439" s="2"/>
      <c r="DH439" s="2"/>
      <c r="DI439" s="2"/>
    </row>
    <row r="440" ht="47.3" customHeight="1">
      <c r="CZ440" s="35"/>
      <c r="DA440" s="35"/>
      <c r="DB440" s="35"/>
      <c r="DC440" s="35"/>
      <c r="DD440" s="35"/>
      <c r="DE440" s="35"/>
      <c r="DF440" s="35"/>
      <c r="DG440" t="s" s="3">
        <v>67</v>
      </c>
      <c r="DH440" t="s" s="3">
        <v>68</v>
      </c>
      <c r="DI440" t="s" s="3">
        <v>69</v>
      </c>
    </row>
    <row r="441" ht="29.75" customHeight="1">
      <c r="CZ441" t="s" s="6">
        <v>16</v>
      </c>
      <c r="DA441" s="136"/>
      <c r="DB441" s="123"/>
      <c r="DC441" s="123"/>
      <c r="DD441" s="123"/>
      <c r="DE441" s="123"/>
      <c r="DF441" s="123"/>
      <c r="DG441" s="123"/>
      <c r="DH441" s="123"/>
      <c r="DI441" s="123"/>
    </row>
    <row r="442" ht="29.45" customHeight="1">
      <c r="CZ442" t="s" s="11">
        <v>18</v>
      </c>
      <c r="DA442" s="55"/>
      <c r="DB442" s="48"/>
      <c r="DC442" s="48"/>
      <c r="DD442" s="48"/>
      <c r="DE442" s="48"/>
      <c r="DF442" s="48"/>
      <c r="DG442" s="48"/>
      <c r="DH442" s="48"/>
      <c r="DI442" s="48"/>
    </row>
    <row r="443" ht="29.45" customHeight="1">
      <c r="CZ443" t="s" s="11">
        <v>287</v>
      </c>
      <c r="DA443" s="55"/>
      <c r="DB443" s="48"/>
      <c r="DC443" s="48"/>
      <c r="DD443" s="48"/>
      <c r="DE443" s="48"/>
      <c r="DF443" s="48"/>
      <c r="DG443" s="48"/>
      <c r="DH443" s="48"/>
      <c r="DI443" s="48"/>
    </row>
    <row r="444" ht="47.05" customHeight="1">
      <c r="CZ444" t="s" s="11">
        <v>27</v>
      </c>
      <c r="DA444" s="55"/>
      <c r="DB444" s="48"/>
      <c r="DC444" s="48"/>
      <c r="DD444" s="48"/>
      <c r="DE444" s="48"/>
      <c r="DF444" s="48"/>
      <c r="DG444" s="48"/>
      <c r="DH444" s="48"/>
      <c r="DI444" s="48"/>
    </row>
    <row r="445" ht="29.45" customHeight="1">
      <c r="CZ445" t="s" s="32">
        <v>109</v>
      </c>
      <c r="DA445" s="55"/>
      <c r="DB445" s="48"/>
      <c r="DC445" s="48"/>
      <c r="DD445" s="48"/>
      <c r="DE445" s="48"/>
      <c r="DF445" s="48"/>
      <c r="DG445" s="48"/>
      <c r="DH445" s="48"/>
      <c r="DI445" s="48"/>
    </row>
    <row r="446" ht="29.45" customHeight="1">
      <c r="CZ446" t="s" s="11">
        <v>45</v>
      </c>
      <c r="DA446" s="55"/>
      <c r="DB446" s="48"/>
      <c r="DC446" s="48"/>
      <c r="DD446" s="48"/>
      <c r="DE446" s="48"/>
      <c r="DF446" s="48"/>
      <c r="DG446" s="48"/>
      <c r="DH446" s="48"/>
      <c r="DI446" s="48"/>
    </row>
    <row r="447" ht="29.45" customHeight="1">
      <c r="CZ447" t="s" s="11">
        <v>154</v>
      </c>
      <c r="DA447" s="55"/>
      <c r="DB447" s="48"/>
      <c r="DC447" s="48"/>
      <c r="DD447" s="48"/>
      <c r="DE447" s="48"/>
      <c r="DF447" s="48"/>
      <c r="DG447" s="48"/>
      <c r="DH447" s="48"/>
      <c r="DI447" s="48"/>
    </row>
    <row r="448" ht="29.45" customHeight="1">
      <c r="CZ448" t="s" s="11">
        <v>155</v>
      </c>
      <c r="DA448" s="55"/>
      <c r="DB448" s="48"/>
      <c r="DC448" s="48"/>
      <c r="DD448" s="48"/>
      <c r="DE448" s="48"/>
      <c r="DF448" s="48"/>
      <c r="DG448" s="48"/>
      <c r="DH448" s="48"/>
      <c r="DI448" s="48"/>
    </row>
    <row r="449" ht="29.45" customHeight="1">
      <c r="CZ449" t="s" s="11">
        <v>19</v>
      </c>
      <c r="DA449" s="55"/>
      <c r="DB449" s="48"/>
      <c r="DC449" s="48"/>
      <c r="DD449" s="48"/>
      <c r="DE449" s="48"/>
      <c r="DF449" s="48"/>
      <c r="DG449" s="48"/>
      <c r="DH449" s="48"/>
      <c r="DI449" s="48"/>
    </row>
    <row r="450" ht="29.45" customHeight="1">
      <c r="CZ450" t="s" s="95">
        <v>35</v>
      </c>
      <c r="DA450" s="55"/>
      <c r="DB450" s="48"/>
      <c r="DC450" s="48"/>
      <c r="DD450" s="48"/>
      <c r="DE450" s="48"/>
      <c r="DF450" s="48"/>
      <c r="DG450" s="48"/>
      <c r="DH450" s="48"/>
      <c r="DI450" s="48"/>
    </row>
    <row r="451" ht="29.45" customHeight="1">
      <c r="CZ451" t="s" s="95">
        <v>10</v>
      </c>
      <c r="DA451" s="55"/>
      <c r="DB451" s="48"/>
      <c r="DC451" s="48"/>
      <c r="DD451" s="48"/>
      <c r="DE451" s="48"/>
      <c r="DF451" s="48"/>
      <c r="DG451" s="48"/>
      <c r="DH451" s="48"/>
      <c r="DI451" s="48"/>
    </row>
    <row r="452" ht="29.45" customHeight="1">
      <c r="CZ452" t="s" s="95">
        <v>37</v>
      </c>
      <c r="DA452" s="55"/>
      <c r="DB452" s="48"/>
      <c r="DC452" s="48"/>
      <c r="DD452" s="48"/>
      <c r="DE452" s="48"/>
      <c r="DF452" s="48"/>
      <c r="DG452" s="48"/>
      <c r="DH452" s="48"/>
      <c r="DI452" s="48"/>
    </row>
    <row r="453" ht="29.45" customHeight="1">
      <c r="CZ453" t="s" s="11">
        <v>32</v>
      </c>
      <c r="DA453" s="55"/>
      <c r="DB453" s="48"/>
      <c r="DC453" s="48"/>
      <c r="DD453" s="48"/>
      <c r="DE453" s="48"/>
      <c r="DF453" s="48"/>
      <c r="DG453" s="48"/>
      <c r="DH453" s="48"/>
      <c r="DI453" s="48"/>
    </row>
    <row r="454" ht="29.45" customHeight="1">
      <c r="CZ454" t="s" s="172">
        <v>46</v>
      </c>
      <c r="DA454" s="55"/>
      <c r="DB454" s="48"/>
      <c r="DC454" s="48"/>
      <c r="DD454" s="48"/>
      <c r="DE454" s="48"/>
      <c r="DF454" s="48"/>
      <c r="DG454" s="48"/>
      <c r="DH454" s="48"/>
      <c r="DI454" s="48"/>
    </row>
    <row r="455" ht="29.45" customHeight="1">
      <c r="CZ455" t="s" s="172">
        <v>191</v>
      </c>
      <c r="DA455" s="55"/>
      <c r="DB455" s="48"/>
      <c r="DC455" s="48"/>
      <c r="DD455" s="48"/>
      <c r="DE455" s="48"/>
      <c r="DF455" s="48"/>
      <c r="DG455" s="48"/>
      <c r="DH455" s="48"/>
      <c r="DI455" s="48"/>
    </row>
    <row r="456" ht="20.05" customHeight="1">
      <c r="CZ456" t="s" s="32">
        <v>47</v>
      </c>
      <c r="DA456" s="55"/>
      <c r="DB456" s="48"/>
      <c r="DC456" s="48"/>
      <c r="DD456" s="48"/>
      <c r="DE456" s="48"/>
      <c r="DF456" s="48"/>
      <c r="DG456" s="48"/>
      <c r="DH456" s="48"/>
      <c r="DI456" s="48"/>
    </row>
    <row r="457" ht="20.05" customHeight="1">
      <c r="CZ457" t="s" s="32">
        <v>274</v>
      </c>
      <c r="DA457" s="55"/>
      <c r="DB457" s="48"/>
      <c r="DC457" s="48"/>
      <c r="DD457" s="48"/>
      <c r="DE457" s="48"/>
      <c r="DF457" s="48"/>
      <c r="DG457" s="48"/>
      <c r="DH457" s="48"/>
      <c r="DI457" s="48"/>
    </row>
    <row r="458" ht="29.45" customHeight="1">
      <c r="CZ458" t="s" s="32">
        <v>48</v>
      </c>
      <c r="DA458" s="55"/>
      <c r="DB458" s="48"/>
      <c r="DC458" s="48"/>
      <c r="DD458" s="48"/>
      <c r="DE458" s="48"/>
      <c r="DF458" s="48"/>
      <c r="DG458" s="48"/>
      <c r="DH458" s="48"/>
      <c r="DI458" s="48"/>
    </row>
    <row r="459" ht="29.45" customHeight="1">
      <c r="CZ459" t="s" s="32">
        <v>49</v>
      </c>
      <c r="DA459" s="55"/>
      <c r="DB459" s="48"/>
      <c r="DC459" s="48"/>
      <c r="DD459" s="48"/>
      <c r="DE459" s="48"/>
      <c r="DF459" s="48"/>
      <c r="DG459" s="48"/>
      <c r="DH459" s="48"/>
      <c r="DI459" s="48"/>
    </row>
    <row r="460" ht="29.45" customHeight="1">
      <c r="CZ460" t="s" s="32">
        <v>50</v>
      </c>
      <c r="DA460" s="55"/>
      <c r="DB460" s="48"/>
      <c r="DC460" s="48"/>
      <c r="DD460" s="48"/>
      <c r="DE460" s="48"/>
      <c r="DF460" s="48"/>
      <c r="DG460" s="48"/>
      <c r="DH460" s="48"/>
      <c r="DI460" s="48"/>
    </row>
    <row r="461" ht="29.45" customHeight="1">
      <c r="CZ461" t="s" s="32">
        <v>51</v>
      </c>
      <c r="DA461" s="55"/>
      <c r="DB461" s="48"/>
      <c r="DC461" s="48"/>
      <c r="DD461" s="48"/>
      <c r="DE461" s="48"/>
      <c r="DF461" s="48"/>
      <c r="DG461" s="48"/>
      <c r="DH461" s="48"/>
      <c r="DI461" s="48"/>
    </row>
    <row r="462" ht="29.45" customHeight="1">
      <c r="CZ462" t="s" s="32">
        <v>52</v>
      </c>
      <c r="DA462" s="55"/>
      <c r="DB462" s="48"/>
      <c r="DC462" s="48"/>
      <c r="DD462" s="48"/>
      <c r="DE462" s="48"/>
      <c r="DF462" s="48"/>
      <c r="DG462" s="48"/>
      <c r="DH462" s="48"/>
      <c r="DI462" s="48"/>
    </row>
    <row r="463" ht="29.45" customHeight="1">
      <c r="CZ463" t="s" s="32">
        <v>115</v>
      </c>
      <c r="DA463" s="55"/>
      <c r="DB463" s="48"/>
      <c r="DC463" s="48"/>
      <c r="DD463" s="48"/>
      <c r="DE463" s="48"/>
      <c r="DF463" s="48"/>
      <c r="DG463" s="48"/>
      <c r="DH463" s="48"/>
      <c r="DI463" s="48"/>
    </row>
    <row r="464" ht="28.6" customHeight="1">
      <c r="CZ464" t="s" s="32">
        <v>197</v>
      </c>
      <c r="DA464" s="55"/>
      <c r="DB464" s="48"/>
      <c r="DC464" s="48"/>
      <c r="DD464" s="48"/>
      <c r="DE464" s="48"/>
      <c r="DF464" s="48"/>
      <c r="DG464" s="48"/>
      <c r="DH464" s="48"/>
      <c r="DI464" s="48"/>
    </row>
    <row r="465" ht="20.05" customHeight="1">
      <c r="CZ465" t="s" s="32">
        <v>156</v>
      </c>
      <c r="DA465" s="55"/>
      <c r="DB465" s="48"/>
      <c r="DC465" s="48"/>
      <c r="DD465" s="48"/>
      <c r="DE465" s="48"/>
      <c r="DF465" s="48"/>
      <c r="DG465" s="48"/>
      <c r="DH465" s="48"/>
      <c r="DI465" s="48"/>
    </row>
    <row r="466" ht="20.05" customHeight="1">
      <c r="CZ466" t="s" s="32">
        <v>239</v>
      </c>
      <c r="DA466" s="55"/>
      <c r="DB466" s="48"/>
      <c r="DC466" s="48"/>
      <c r="DD466" s="48"/>
      <c r="DE466" s="48"/>
      <c r="DF466" s="48"/>
      <c r="DG466" s="48"/>
      <c r="DH466" s="48"/>
      <c r="DI466" s="48"/>
    </row>
    <row r="467" ht="20.05" customHeight="1">
      <c r="CZ467" t="s" s="32">
        <v>242</v>
      </c>
      <c r="DA467" s="55"/>
      <c r="DB467" s="48"/>
      <c r="DC467" s="48"/>
      <c r="DD467" s="48"/>
      <c r="DE467" s="48"/>
      <c r="DF467" s="48"/>
      <c r="DG467" s="48"/>
      <c r="DH467" s="48"/>
      <c r="DI467" s="48"/>
    </row>
    <row r="468" ht="20.05" customHeight="1">
      <c r="CZ468" t="s" s="32">
        <v>244</v>
      </c>
      <c r="DA468" s="55"/>
      <c r="DB468" s="48"/>
      <c r="DC468" s="48"/>
      <c r="DD468" s="48"/>
      <c r="DE468" s="48"/>
      <c r="DF468" s="48"/>
      <c r="DG468" s="48"/>
      <c r="DH468" s="48"/>
      <c r="DI468" s="48"/>
    </row>
    <row r="469" ht="20.05" customHeight="1">
      <c r="CZ469" t="s" s="32">
        <v>250</v>
      </c>
      <c r="DA469" s="55"/>
      <c r="DB469" s="48"/>
      <c r="DC469" s="48"/>
      <c r="DD469" s="48"/>
      <c r="DE469" s="48"/>
      <c r="DF469" s="48"/>
      <c r="DG469" s="48"/>
      <c r="DH469" s="48"/>
      <c r="DI469" s="48"/>
    </row>
    <row r="470" ht="20.05" customHeight="1">
      <c r="CZ470" s="206"/>
      <c r="DA470" s="55"/>
      <c r="DB470" s="48"/>
      <c r="DC470" s="48"/>
      <c r="DD470" s="48"/>
      <c r="DE470" s="48"/>
      <c r="DF470" s="48"/>
      <c r="DG470" s="48"/>
      <c r="DH470" s="48"/>
      <c r="DI470" s="48"/>
    </row>
    <row r="471" ht="20.05" customHeight="1">
      <c r="CZ471" t="s" s="32">
        <v>292</v>
      </c>
      <c r="DA471" s="55"/>
      <c r="DB471" s="48"/>
      <c r="DC471" s="48"/>
      <c r="DD471" s="48"/>
      <c r="DE471" s="48"/>
      <c r="DF471" s="48"/>
      <c r="DG471" s="48"/>
      <c r="DH471" s="48"/>
      <c r="DI471" s="48"/>
    </row>
    <row r="472" ht="20.05" customHeight="1">
      <c r="CZ472" t="s" s="32">
        <v>257</v>
      </c>
      <c r="DA472" s="55"/>
      <c r="DB472" s="48"/>
      <c r="DC472" s="48"/>
      <c r="DD472" s="48"/>
      <c r="DE472" s="48"/>
      <c r="DF472" s="48"/>
      <c r="DG472" s="48"/>
      <c r="DH472" s="48"/>
      <c r="DI472" s="48"/>
    </row>
    <row r="473" ht="20.05" customHeight="1">
      <c r="CZ473" t="s" s="32">
        <v>259</v>
      </c>
      <c r="DA473" s="55"/>
      <c r="DB473" s="48"/>
      <c r="DC473" s="48"/>
      <c r="DD473" s="48"/>
      <c r="DE473" s="48"/>
      <c r="DF473" s="48"/>
      <c r="DG473" s="48"/>
      <c r="DH473" s="48"/>
      <c r="DI473" s="48"/>
    </row>
    <row r="474" ht="20.05" customHeight="1">
      <c r="CZ474" t="s" s="32">
        <v>262</v>
      </c>
      <c r="DA474" s="55"/>
      <c r="DB474" s="48"/>
      <c r="DC474" s="48"/>
      <c r="DD474" s="48"/>
      <c r="DE474" s="48"/>
      <c r="DF474" s="48"/>
      <c r="DG474" s="48"/>
      <c r="DH474" s="48"/>
      <c r="DI474" s="48"/>
    </row>
    <row r="475" ht="20.05" customHeight="1">
      <c r="CZ475" t="s" s="32">
        <v>265</v>
      </c>
      <c r="DA475" s="55"/>
      <c r="DB475" s="48"/>
      <c r="DC475" s="48"/>
      <c r="DD475" s="48"/>
      <c r="DE475" s="48"/>
      <c r="DF475" s="48"/>
      <c r="DG475" s="48"/>
      <c r="DH475" s="48"/>
      <c r="DI475" s="48"/>
    </row>
    <row r="476" ht="32.05" customHeight="1">
      <c r="CZ476" t="s" s="32">
        <v>268</v>
      </c>
      <c r="DA476" s="55"/>
      <c r="DB476" s="48"/>
      <c r="DC476" s="48"/>
      <c r="DD476" s="48"/>
      <c r="DE476" s="48"/>
      <c r="DF476" s="48"/>
      <c r="DG476" s="48"/>
      <c r="DH476" s="48"/>
      <c r="DI476" s="48"/>
    </row>
    <row r="477" ht="20.05" customHeight="1">
      <c r="CZ477" t="s" s="32">
        <v>270</v>
      </c>
      <c r="DA477" s="55"/>
      <c r="DB477" s="48"/>
      <c r="DC477" s="48"/>
      <c r="DD477" s="48"/>
      <c r="DE477" s="48"/>
      <c r="DF477" s="48"/>
      <c r="DG477" s="48"/>
      <c r="DH477" s="48"/>
      <c r="DI477" s="48"/>
    </row>
    <row r="478" ht="20.05" customHeight="1">
      <c r="CZ478" t="s" s="32">
        <v>272</v>
      </c>
      <c r="DA478" s="55"/>
      <c r="DB478" s="48"/>
      <c r="DC478" s="48"/>
      <c r="DD478" s="48"/>
      <c r="DE478" s="48"/>
      <c r="DF478" s="48"/>
      <c r="DG478" s="48"/>
      <c r="DH478" s="48"/>
      <c r="DI478" s="48"/>
    </row>
    <row r="479" ht="32.85" customHeight="1">
      <c r="CZ479" t="s" s="32">
        <v>102</v>
      </c>
      <c r="DA479" s="55"/>
      <c r="DB479" s="48"/>
      <c r="DC479" s="48"/>
      <c r="DD479" s="48"/>
      <c r="DE479" s="48"/>
      <c r="DF479" s="48"/>
      <c r="DG479" s="48"/>
      <c r="DH479" s="48"/>
      <c r="DI479" s="48"/>
    </row>
    <row r="480" ht="22.45" customHeight="1">
      <c r="CZ480" t="s" s="49">
        <v>30</v>
      </c>
      <c r="DA480" s="12" cm="1">
        <f t="array" ref="DA480">SUM(DA441:DA479)</f>
        <v>0</v>
      </c>
      <c r="DB480" s="24" cm="1">
        <f t="array" ref="DB480">SUM(DB441:DB479)</f>
        <v>0</v>
      </c>
      <c r="DC480" s="24" cm="1">
        <f t="array" ref="DC480">SUM(DC441:DC479)</f>
        <v>0</v>
      </c>
      <c r="DD480" s="24" cm="1">
        <f t="array" ref="DD480">SUM(DD441:DD479)</f>
        <v>0</v>
      </c>
      <c r="DE480" s="24" cm="1">
        <f t="array" ref="DE480">SUM(DE441:DE479)</f>
        <v>0</v>
      </c>
      <c r="DF480" s="24" cm="1">
        <f t="array" ref="DF480">SUM(DF441:DF479)</f>
        <v>0</v>
      </c>
      <c r="DG480" s="24" cm="1">
        <f t="array" ref="DG480">SUM(DG441:DG479)</f>
        <v>0</v>
      </c>
      <c r="DH480" s="24" cm="1">
        <f t="array" ref="DH480">CM394+BS308+AY222+AA136</f>
        <v>16</v>
      </c>
      <c r="DI480" s="24" cm="1">
        <f t="array" ref="DI480">SUM(DI441:DI479)</f>
        <v>0</v>
      </c>
    </row>
    <row r="482" ht="48.15" customHeight="1">
      <c r="DJ482" s="35"/>
      <c r="DK482" s="35"/>
      <c r="DL482" s="35"/>
      <c r="DM482" s="35"/>
      <c r="DN482" s="35"/>
      <c r="DO482" s="35"/>
      <c r="DP482" s="35"/>
      <c r="DQ482" t="s" s="3">
        <v>53</v>
      </c>
      <c r="DR482" t="s" s="3">
        <v>67</v>
      </c>
      <c r="DS482" t="s" s="3">
        <v>160</v>
      </c>
    </row>
    <row r="483" ht="30.25" customHeight="1">
      <c r="DJ483" t="s" s="6">
        <v>16</v>
      </c>
      <c r="DK483" s="136"/>
      <c r="DL483" s="123"/>
      <c r="DM483" s="123"/>
      <c r="DN483" s="123"/>
      <c r="DO483" s="123"/>
      <c r="DP483" s="123"/>
      <c r="DQ483" s="47" cm="1">
        <f t="array" ref="DQ483">SUM(DK483:DP483)</f>
        <v>0</v>
      </c>
      <c r="DR483" s="37"/>
      <c r="DS483" s="37"/>
    </row>
    <row r="484" ht="29.95" customHeight="1">
      <c r="DJ484" t="s" s="11">
        <v>18</v>
      </c>
      <c r="DK484" s="55"/>
      <c r="DL484" s="48"/>
      <c r="DM484" s="48"/>
      <c r="DN484" s="48"/>
      <c r="DO484" s="48"/>
      <c r="DP484" s="48"/>
      <c r="DQ484" s="24" cm="1">
        <f t="array" ref="DQ484">SUM(DK484:DP484)</f>
        <v>0</v>
      </c>
      <c r="DR484" s="19"/>
      <c r="DS484" s="19"/>
    </row>
    <row r="485" ht="29.95" customHeight="1">
      <c r="DJ485" t="s" s="11">
        <v>287</v>
      </c>
      <c r="DK485" s="55"/>
      <c r="DL485" s="48"/>
      <c r="DM485" s="48"/>
      <c r="DN485" s="48"/>
      <c r="DO485" s="48"/>
      <c r="DP485" s="48"/>
      <c r="DQ485" s="24" cm="1">
        <f t="array" ref="DQ485">SUM(DK485:DP485)</f>
        <v>0</v>
      </c>
      <c r="DR485" s="19"/>
      <c r="DS485" s="19"/>
    </row>
    <row r="486" ht="47.85" customHeight="1">
      <c r="DJ486" t="s" s="11">
        <v>27</v>
      </c>
      <c r="DK486" s="55"/>
      <c r="DL486" s="48"/>
      <c r="DM486" s="48"/>
      <c r="DN486" s="48"/>
      <c r="DO486" s="48"/>
      <c r="DP486" s="48"/>
      <c r="DQ486" s="24" cm="1">
        <f t="array" ref="DQ486">SUM(DK486:DP486)</f>
        <v>0</v>
      </c>
      <c r="DR486" s="19"/>
      <c r="DS486" s="19"/>
    </row>
    <row r="487" ht="29.95" customHeight="1">
      <c r="DJ487" t="s" s="32">
        <v>109</v>
      </c>
      <c r="DK487" s="55"/>
      <c r="DL487" s="48"/>
      <c r="DM487" s="48"/>
      <c r="DN487" s="48"/>
      <c r="DO487" s="48"/>
      <c r="DP487" s="48"/>
      <c r="DQ487" s="24" cm="1">
        <f t="array" ref="DQ487">SUM(DK487:DP487)</f>
        <v>0</v>
      </c>
      <c r="DR487" s="19"/>
      <c r="DS487" s="19"/>
    </row>
    <row r="488" ht="29.95" customHeight="1">
      <c r="DJ488" t="s" s="11">
        <v>45</v>
      </c>
      <c r="DK488" s="55"/>
      <c r="DL488" s="48"/>
      <c r="DM488" s="48"/>
      <c r="DN488" s="48"/>
      <c r="DO488" s="48"/>
      <c r="DP488" s="48"/>
      <c r="DQ488" s="24" cm="1">
        <f t="array" ref="DQ488">SUM(DK488:DP488)</f>
        <v>0</v>
      </c>
      <c r="DR488" s="19"/>
      <c r="DS488" s="19"/>
    </row>
    <row r="489" ht="29.95" customHeight="1">
      <c r="DJ489" t="s" s="172">
        <v>46</v>
      </c>
      <c r="DK489" s="55"/>
      <c r="DL489" s="48"/>
      <c r="DM489" s="48"/>
      <c r="DN489" s="48"/>
      <c r="DO489" s="48"/>
      <c r="DP489" s="48"/>
      <c r="DQ489" s="24" cm="1">
        <f t="array" ref="DQ489">SUM(DK489:DP489)</f>
        <v>0</v>
      </c>
      <c r="DR489" s="19"/>
      <c r="DS489" s="19"/>
    </row>
    <row r="490" ht="29.95" customHeight="1">
      <c r="DJ490" t="s" s="172">
        <v>191</v>
      </c>
      <c r="DK490" s="55"/>
      <c r="DL490" s="48"/>
      <c r="DM490" s="48"/>
      <c r="DN490" s="48"/>
      <c r="DO490" s="48"/>
      <c r="DP490" s="48"/>
      <c r="DQ490" s="24" cm="1">
        <f t="array" ref="DQ490">SUM(DK490:DP490)</f>
        <v>0</v>
      </c>
      <c r="DR490" s="19"/>
      <c r="DS490" s="19"/>
    </row>
    <row r="491" ht="29.95" customHeight="1">
      <c r="DJ491" t="s" s="11">
        <v>154</v>
      </c>
      <c r="DK491" s="55"/>
      <c r="DL491" s="48"/>
      <c r="DM491" s="48"/>
      <c r="DN491" s="48"/>
      <c r="DO491" s="48"/>
      <c r="DP491" s="48"/>
      <c r="DQ491" s="24" cm="1">
        <f t="array" ref="DQ491">SUM(DK491:DP491)</f>
        <v>0</v>
      </c>
      <c r="DR491" s="19"/>
      <c r="DS491" s="19"/>
    </row>
    <row r="492" ht="29.95" customHeight="1">
      <c r="DJ492" t="s" s="11">
        <v>155</v>
      </c>
      <c r="DK492" s="55"/>
      <c r="DL492" s="48"/>
      <c r="DM492" s="48"/>
      <c r="DN492" s="48"/>
      <c r="DO492" s="48"/>
      <c r="DP492" s="48"/>
      <c r="DQ492" s="24" cm="1">
        <f t="array" ref="DQ492">SUM(DK492:DP492)</f>
        <v>0</v>
      </c>
      <c r="DR492" s="19"/>
      <c r="DS492" s="19"/>
    </row>
    <row r="493" ht="29.95" customHeight="1">
      <c r="DJ493" t="s" s="11">
        <v>19</v>
      </c>
      <c r="DK493" s="55"/>
      <c r="DL493" s="48"/>
      <c r="DM493" s="48"/>
      <c r="DN493" s="48"/>
      <c r="DO493" s="48"/>
      <c r="DP493" s="48"/>
      <c r="DQ493" s="24" cm="1">
        <f t="array" ref="DQ493">SUM(DK493:DP493)</f>
        <v>0</v>
      </c>
      <c r="DR493" s="19"/>
      <c r="DS493" s="19"/>
    </row>
    <row r="494" ht="29.95" customHeight="1">
      <c r="DJ494" t="s" s="95">
        <v>35</v>
      </c>
      <c r="DK494" s="55"/>
      <c r="DL494" s="48"/>
      <c r="DM494" s="48"/>
      <c r="DN494" s="48"/>
      <c r="DO494" s="48"/>
      <c r="DP494" s="48"/>
      <c r="DQ494" s="24" cm="1">
        <f t="array" ref="DQ494">SUM(DK494:DP494)</f>
        <v>0</v>
      </c>
      <c r="DR494" s="19"/>
      <c r="DS494" s="19"/>
    </row>
    <row r="495" ht="29.95" customHeight="1">
      <c r="DJ495" t="s" s="95">
        <v>10</v>
      </c>
      <c r="DK495" s="55"/>
      <c r="DL495" s="48"/>
      <c r="DM495" s="48"/>
      <c r="DN495" s="48"/>
      <c r="DO495" s="48"/>
      <c r="DP495" s="48"/>
      <c r="DQ495" s="24" cm="1">
        <f t="array" ref="DQ495">SUM(DK495:DP495)</f>
        <v>0</v>
      </c>
      <c r="DR495" s="19"/>
      <c r="DS495" s="19"/>
    </row>
    <row r="496" ht="29.95" customHeight="1">
      <c r="DJ496" t="s" s="95">
        <v>37</v>
      </c>
      <c r="DK496" s="55"/>
      <c r="DL496" s="48"/>
      <c r="DM496" s="48"/>
      <c r="DN496" s="48"/>
      <c r="DO496" s="48"/>
      <c r="DP496" s="48"/>
      <c r="DQ496" s="24" cm="1">
        <f t="array" ref="DQ496">SUM(DK496:DP496)</f>
        <v>0</v>
      </c>
      <c r="DR496" s="19"/>
      <c r="DS496" s="19"/>
    </row>
    <row r="497" ht="29.95" customHeight="1">
      <c r="DJ497" t="s" s="11">
        <v>32</v>
      </c>
      <c r="DK497" s="55"/>
      <c r="DL497" s="48"/>
      <c r="DM497" s="48"/>
      <c r="DN497" s="48"/>
      <c r="DO497" s="48"/>
      <c r="DP497" s="48"/>
      <c r="DQ497" s="24" cm="1">
        <f t="array" ref="DQ497">SUM(DK497:DP497)</f>
        <v>0</v>
      </c>
      <c r="DR497" s="19"/>
      <c r="DS497" s="19"/>
    </row>
    <row r="498" ht="29.95" customHeight="1">
      <c r="DJ498" t="s" s="32">
        <v>47</v>
      </c>
      <c r="DK498" s="55"/>
      <c r="DL498" s="48"/>
      <c r="DM498" s="48"/>
      <c r="DN498" s="48"/>
      <c r="DO498" s="48"/>
      <c r="DP498" s="48"/>
      <c r="DQ498" s="24" cm="1">
        <f t="array" ref="DQ498">SUM(DK498:DP498)</f>
        <v>0</v>
      </c>
      <c r="DR498" s="19"/>
      <c r="DS498" s="19"/>
    </row>
    <row r="499" ht="29.95" customHeight="1">
      <c r="DJ499" t="s" s="32">
        <v>274</v>
      </c>
      <c r="DK499" s="55"/>
      <c r="DL499" s="48"/>
      <c r="DM499" s="48"/>
      <c r="DN499" s="48"/>
      <c r="DO499" s="48"/>
      <c r="DP499" s="48"/>
      <c r="DQ499" s="24" cm="1">
        <f t="array" ref="DQ499">SUM(DK499:DP499)</f>
        <v>0</v>
      </c>
      <c r="DR499" s="19"/>
      <c r="DS499" s="19"/>
    </row>
    <row r="500" ht="29.95" customHeight="1">
      <c r="DJ500" t="s" s="32">
        <v>48</v>
      </c>
      <c r="DK500" s="55"/>
      <c r="DL500" s="48"/>
      <c r="DM500" s="48"/>
      <c r="DN500" s="48"/>
      <c r="DO500" s="48"/>
      <c r="DP500" s="48"/>
      <c r="DQ500" s="24" cm="1">
        <f t="array" ref="DQ500">SUM(DK500:DP500)</f>
        <v>0</v>
      </c>
      <c r="DR500" s="19"/>
      <c r="DS500" s="19"/>
    </row>
    <row r="501" ht="29.95" customHeight="1">
      <c r="DJ501" t="s" s="32">
        <v>49</v>
      </c>
      <c r="DK501" s="55"/>
      <c r="DL501" s="48"/>
      <c r="DM501" s="48"/>
      <c r="DN501" s="48"/>
      <c r="DO501" s="48"/>
      <c r="DP501" s="48"/>
      <c r="DQ501" s="24" cm="1">
        <f t="array" ref="DQ501">SUM(DK501:DP501)</f>
        <v>0</v>
      </c>
      <c r="DR501" s="19"/>
      <c r="DS501" s="19"/>
    </row>
    <row r="502" ht="29.95" customHeight="1">
      <c r="DJ502" t="s" s="32">
        <v>50</v>
      </c>
      <c r="DK502" s="55"/>
      <c r="DL502" s="48"/>
      <c r="DM502" s="48"/>
      <c r="DN502" s="48"/>
      <c r="DO502" s="48"/>
      <c r="DP502" s="48"/>
      <c r="DQ502" s="24" cm="1">
        <f t="array" ref="DQ502">CW418+CC331+BI245</f>
        <v>3</v>
      </c>
      <c r="DR502" s="19"/>
      <c r="DS502" s="19"/>
    </row>
    <row r="503" ht="29.95" customHeight="1">
      <c r="DJ503" t="s" s="32">
        <v>51</v>
      </c>
      <c r="DK503" s="55"/>
      <c r="DL503" s="48"/>
      <c r="DM503" s="48"/>
      <c r="DN503" s="48"/>
      <c r="DO503" s="48"/>
      <c r="DP503" s="48"/>
      <c r="DQ503" s="24" cm="1">
        <f t="array" ref="DQ503">SUM(DK503:DP503)</f>
        <v>0</v>
      </c>
      <c r="DR503" s="19"/>
      <c r="DS503" s="19"/>
    </row>
    <row r="504" ht="29.95" customHeight="1">
      <c r="DJ504" t="s" s="32">
        <v>52</v>
      </c>
      <c r="DK504" s="55"/>
      <c r="DL504" s="48"/>
      <c r="DM504" s="48"/>
      <c r="DN504" s="48"/>
      <c r="DO504" s="48"/>
      <c r="DP504" s="48"/>
      <c r="DQ504" s="24" cm="1">
        <f t="array" ref="DQ504">SUM(DK504:DP504)</f>
        <v>0</v>
      </c>
      <c r="DR504" s="19"/>
      <c r="DS504" s="19"/>
    </row>
    <row r="505" ht="29.95" customHeight="1">
      <c r="DJ505" t="s" s="32">
        <v>115</v>
      </c>
      <c r="DK505" s="55"/>
      <c r="DL505" s="48"/>
      <c r="DM505" s="48"/>
      <c r="DN505" s="48"/>
      <c r="DO505" s="48"/>
      <c r="DP505" s="48"/>
      <c r="DQ505" s="24" cm="1">
        <f t="array" ref="DQ505">SUM(DK505:DP505)</f>
        <v>0</v>
      </c>
      <c r="DR505" s="19"/>
      <c r="DS505" s="19"/>
    </row>
    <row r="506" ht="29.95" customHeight="1">
      <c r="DJ506" t="s" s="32">
        <v>197</v>
      </c>
      <c r="DK506" s="55"/>
      <c r="DL506" s="48"/>
      <c r="DM506" s="48"/>
      <c r="DN506" s="48"/>
      <c r="DO506" s="48"/>
      <c r="DP506" s="48"/>
      <c r="DQ506" s="24" cm="1">
        <f t="array" ref="DQ506">SUM(DK506:DP506)</f>
        <v>0</v>
      </c>
      <c r="DR506" s="19"/>
      <c r="DS506" s="19"/>
    </row>
    <row r="507" ht="29.95" customHeight="1">
      <c r="DJ507" t="s" s="32">
        <v>156</v>
      </c>
      <c r="DK507" s="55"/>
      <c r="DL507" s="48"/>
      <c r="DM507" s="48"/>
      <c r="DN507" s="48"/>
      <c r="DO507" s="48"/>
      <c r="DP507" s="48"/>
      <c r="DQ507" s="24" cm="1">
        <f t="array" ref="DQ507">SUM(DK507:DP507)</f>
        <v>0</v>
      </c>
      <c r="DR507" s="19"/>
      <c r="DS507" s="19"/>
    </row>
    <row r="508" ht="29.95" customHeight="1">
      <c r="DJ508" t="s" s="32">
        <v>239</v>
      </c>
      <c r="DK508" s="55"/>
      <c r="DL508" s="48"/>
      <c r="DM508" s="48"/>
      <c r="DN508" s="48"/>
      <c r="DO508" s="48"/>
      <c r="DP508" s="48"/>
      <c r="DQ508" s="24" cm="1">
        <f t="array" ref="DQ508">SUM(DK508:DP508)</f>
        <v>0</v>
      </c>
      <c r="DR508" s="19"/>
      <c r="DS508" s="19"/>
    </row>
    <row r="509" ht="29.95" customHeight="1">
      <c r="DJ509" t="s" s="32">
        <v>242</v>
      </c>
      <c r="DK509" s="55"/>
      <c r="DL509" s="48"/>
      <c r="DM509" s="48"/>
      <c r="DN509" s="48"/>
      <c r="DO509" s="48"/>
      <c r="DP509" s="48"/>
      <c r="DQ509" s="24" cm="1">
        <f t="array" ref="DQ509">SUM(DK509:DP509)</f>
        <v>0</v>
      </c>
      <c r="DR509" s="19"/>
      <c r="DS509" s="19"/>
    </row>
    <row r="510" ht="29.95" customHeight="1">
      <c r="DJ510" t="s" s="32">
        <v>244</v>
      </c>
      <c r="DK510" s="55"/>
      <c r="DL510" s="48"/>
      <c r="DM510" s="48"/>
      <c r="DN510" s="48"/>
      <c r="DO510" s="48"/>
      <c r="DP510" s="48"/>
      <c r="DQ510" s="24" cm="1">
        <f t="array" ref="DQ510">SUM(DK510:DP510)</f>
        <v>0</v>
      </c>
      <c r="DR510" s="19"/>
      <c r="DS510" s="19"/>
    </row>
    <row r="511" ht="29.95" customHeight="1">
      <c r="DJ511" t="s" s="32">
        <v>250</v>
      </c>
      <c r="DK511" s="55"/>
      <c r="DL511" s="48"/>
      <c r="DM511" s="48"/>
      <c r="DN511" s="48"/>
      <c r="DO511" s="48"/>
      <c r="DP511" s="48"/>
      <c r="DQ511" s="24" cm="1">
        <f t="array" ref="DQ511">SUM(DK511:DP511)</f>
        <v>0</v>
      </c>
      <c r="DR511" s="19"/>
      <c r="DS511" s="19"/>
    </row>
    <row r="512" ht="29.95" customHeight="1">
      <c r="DJ512" t="s" s="32">
        <v>319</v>
      </c>
      <c r="DK512" s="55"/>
      <c r="DL512" s="48"/>
      <c r="DM512" s="48"/>
      <c r="DN512" s="48"/>
      <c r="DO512" s="48"/>
      <c r="DP512" s="48"/>
      <c r="DQ512" s="24" cm="1">
        <f t="array" ref="DQ512">SUM(DK512:DP512)</f>
        <v>0</v>
      </c>
      <c r="DR512" s="19"/>
      <c r="DS512" s="19"/>
    </row>
    <row r="513" ht="29.95" customHeight="1">
      <c r="DJ513" t="s" s="32">
        <v>292</v>
      </c>
      <c r="DK513" s="55"/>
      <c r="DL513" s="48"/>
      <c r="DM513" s="48"/>
      <c r="DN513" s="48"/>
      <c r="DO513" s="48"/>
      <c r="DP513" s="48"/>
      <c r="DQ513" s="24" cm="1">
        <f t="array" ref="DQ513">SUM(DK513:DP513)</f>
        <v>0</v>
      </c>
      <c r="DR513" s="19"/>
      <c r="DS513" s="19"/>
    </row>
    <row r="514" ht="29.95" customHeight="1">
      <c r="DJ514" t="s" s="32">
        <v>257</v>
      </c>
      <c r="DK514" s="55"/>
      <c r="DL514" s="48"/>
      <c r="DM514" s="48"/>
      <c r="DN514" s="48"/>
      <c r="DO514" s="48"/>
      <c r="DP514" s="48"/>
      <c r="DQ514" s="24" cm="1">
        <f t="array" ref="DQ514">SUM(DK514:DP514)</f>
        <v>0</v>
      </c>
      <c r="DR514" s="19"/>
      <c r="DS514" s="19"/>
    </row>
    <row r="515" ht="29.95" customHeight="1">
      <c r="DJ515" t="s" s="32">
        <v>259</v>
      </c>
      <c r="DK515" s="55"/>
      <c r="DL515" s="48"/>
      <c r="DM515" s="48"/>
      <c r="DN515" s="48"/>
      <c r="DO515" s="48"/>
      <c r="DP515" s="48"/>
      <c r="DQ515" s="24" cm="1">
        <f t="array" ref="DQ515">SUM(DK515:DP515)</f>
        <v>0</v>
      </c>
      <c r="DR515" s="19"/>
      <c r="DS515" s="19"/>
    </row>
    <row r="516" ht="29.95" customHeight="1">
      <c r="DJ516" t="s" s="32">
        <v>262</v>
      </c>
      <c r="DK516" s="55"/>
      <c r="DL516" s="48"/>
      <c r="DM516" s="48"/>
      <c r="DN516" s="48"/>
      <c r="DO516" s="48"/>
      <c r="DP516" s="48"/>
      <c r="DQ516" s="24" cm="1">
        <f t="array" ref="DQ516">SUM(DK516:DP516)</f>
        <v>0</v>
      </c>
      <c r="DR516" s="19"/>
      <c r="DS516" s="19"/>
    </row>
    <row r="517" ht="29.95" customHeight="1">
      <c r="DJ517" t="s" s="32">
        <v>265</v>
      </c>
      <c r="DK517" s="55"/>
      <c r="DL517" s="48"/>
      <c r="DM517" s="48"/>
      <c r="DN517" s="48"/>
      <c r="DO517" s="48"/>
      <c r="DP517" s="48"/>
      <c r="DQ517" s="24" cm="1">
        <f t="array" ref="DQ517">SUM(DK517:DP517)</f>
        <v>0</v>
      </c>
      <c r="DR517" s="19"/>
      <c r="DS517" s="19"/>
    </row>
    <row r="518" ht="29.95" customHeight="1">
      <c r="DJ518" t="s" s="32">
        <v>268</v>
      </c>
      <c r="DK518" s="55"/>
      <c r="DL518" s="48"/>
      <c r="DM518" s="48"/>
      <c r="DN518" s="48"/>
      <c r="DO518" s="48"/>
      <c r="DP518" s="48"/>
      <c r="DQ518" s="24" cm="1">
        <f t="array" ref="DQ518">SUM(DK518:DP518)</f>
        <v>0</v>
      </c>
      <c r="DR518" s="19"/>
      <c r="DS518" s="19"/>
    </row>
    <row r="519" ht="29.95" customHeight="1">
      <c r="DJ519" t="s" s="32">
        <v>270</v>
      </c>
      <c r="DK519" s="55"/>
      <c r="DL519" s="48"/>
      <c r="DM519" s="48"/>
      <c r="DN519" s="48"/>
      <c r="DO519" s="48"/>
      <c r="DP519" s="48"/>
      <c r="DQ519" s="24" cm="1">
        <f t="array" ref="DQ519">SUM(DK519:DP519)</f>
        <v>0</v>
      </c>
      <c r="DR519" s="19"/>
      <c r="DS519" s="19"/>
    </row>
    <row r="520" ht="29.95" customHeight="1">
      <c r="DJ520" t="s" s="32">
        <v>272</v>
      </c>
      <c r="DK520" s="55"/>
      <c r="DL520" s="48"/>
      <c r="DM520" s="48"/>
      <c r="DN520" s="48"/>
      <c r="DO520" s="48"/>
      <c r="DP520" s="48"/>
      <c r="DQ520" s="24" cm="1">
        <f t="array" ref="DQ520">SUM(DK520:DP520)</f>
        <v>0</v>
      </c>
      <c r="DR520" s="19"/>
      <c r="DS520" s="19"/>
    </row>
    <row r="521" ht="29.95" customHeight="1">
      <c r="DJ521" t="s" s="32">
        <v>102</v>
      </c>
      <c r="DK521" s="55"/>
      <c r="DL521" s="48"/>
      <c r="DM521" s="48"/>
      <c r="DN521" s="48"/>
      <c r="DO521" s="48"/>
      <c r="DP521" s="48"/>
      <c r="DQ521" s="24" cm="1">
        <f t="array" ref="DQ521">SUM(DK521:DP521)</f>
        <v>0</v>
      </c>
      <c r="DR521" s="19"/>
      <c r="DS521" s="19"/>
    </row>
    <row r="522" ht="29.95" customHeight="1">
      <c r="DJ522" t="s" s="49">
        <v>30</v>
      </c>
      <c r="DK522" s="12" cm="1">
        <f t="array" ref="DK522">SUM(DK483:DK507)</f>
        <v>0</v>
      </c>
      <c r="DL522" s="24" cm="1">
        <f t="array" ref="DL522">SUM(DL483:DL507)</f>
        <v>0</v>
      </c>
      <c r="DM522" s="24" cm="1">
        <f t="array" ref="DM522">SUM(DM483:DM507)</f>
        <v>0</v>
      </c>
      <c r="DN522" s="24" cm="1">
        <f t="array" ref="DN522">SUM(DN483:DN507)</f>
        <v>0</v>
      </c>
      <c r="DO522" s="24" cm="1">
        <f t="array" ref="DO522">SUM(DO483:DO521)</f>
        <v>0</v>
      </c>
      <c r="DP522" s="24" cm="1">
        <f t="array" ref="DP522">SUM(DP483:DP507)</f>
        <v>0</v>
      </c>
      <c r="DQ522" s="24" cm="1">
        <f t="array" ref="DQ522">SUM(DQ483:DQ507)</f>
        <v>3</v>
      </c>
      <c r="DR522" s="19"/>
      <c r="DS522" s="19"/>
    </row>
  </sheetData>
  <mergeCells count="14">
    <mergeCell ref="B2:O2"/>
    <mergeCell ref="C32:G32"/>
    <mergeCell ref="C36:F36"/>
    <mergeCell ref="C51:F51"/>
    <mergeCell ref="C37:I37"/>
    <mergeCell ref="X95:AG95"/>
    <mergeCell ref="AH138:AQ138"/>
    <mergeCell ref="AR181:BA181"/>
    <mergeCell ref="BB224:BK224"/>
    <mergeCell ref="BL267:BU267"/>
    <mergeCell ref="BV310:CE310"/>
    <mergeCell ref="CF353:CO353"/>
    <mergeCell ref="CP396:CY396"/>
    <mergeCell ref="CZ439:DI439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B3:EA648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2.61719" style="248" customWidth="1"/>
    <col min="2" max="2" width="35.5312" style="248" customWidth="1"/>
    <col min="3" max="5" width="16.3516" style="248" customWidth="1"/>
    <col min="6" max="6" width="20.6641" style="248" customWidth="1"/>
    <col min="7" max="7" width="16.3516" style="248" customWidth="1"/>
    <col min="8" max="16" width="16.625" style="248" customWidth="1"/>
    <col min="17" max="17" width="17.2578" style="299" customWidth="1"/>
    <col min="18" max="18" width="18.3359" style="299" customWidth="1"/>
    <col min="19" max="19" width="20.4766" style="299" customWidth="1"/>
    <col min="20" max="20" width="48.4297" style="299" customWidth="1"/>
    <col min="21" max="24" width="23.0938" style="299" customWidth="1"/>
    <col min="25" max="25" width="27.7656" style="299" customWidth="1"/>
    <col min="26" max="26" width="29.9453" style="299" customWidth="1"/>
    <col min="27" max="27" width="43.375" style="330" customWidth="1"/>
    <col min="28" max="36" width="19.4375" style="330" customWidth="1"/>
    <col min="37" max="37" width="37.4219" style="351" customWidth="1"/>
    <col min="38" max="47" width="19.1719" style="351" customWidth="1"/>
    <col min="48" max="48" width="42.8438" style="370" customWidth="1"/>
    <col min="49" max="57" width="19.0703" style="370" customWidth="1"/>
    <col min="58" max="58" width="43.3672" style="388" customWidth="1"/>
    <col min="59" max="67" width="18.6953" style="388" customWidth="1"/>
    <col min="68" max="68" width="16.3516" style="388" customWidth="1"/>
    <col min="69" max="69" width="44.5703" style="391" customWidth="1"/>
    <col min="70" max="78" width="19.5078" style="391" customWidth="1"/>
    <col min="79" max="79" width="41.5234" style="395" customWidth="1"/>
    <col min="80" max="89" width="18.5703" style="395" customWidth="1"/>
    <col min="90" max="90" width="47.5234" style="396" customWidth="1"/>
    <col min="91" max="99" width="19.5938" style="396" customWidth="1"/>
    <col min="100" max="100" width="44.7656" style="398" customWidth="1"/>
    <col min="101" max="110" width="18.3828" style="398" customWidth="1"/>
    <col min="111" max="111" width="51.4062" style="400" customWidth="1"/>
    <col min="112" max="120" width="19.625" style="400" customWidth="1"/>
    <col min="121" max="121" width="48.1875" style="401" customWidth="1"/>
    <col min="122" max="131" width="18.1719" style="401" customWidth="1"/>
    <col min="132" max="16384" width="16.3516" style="401" customWidth="1"/>
  </cols>
  <sheetData>
    <row r="1" ht="211.95" customHeight="1"/>
    <row r="2" ht="27.65" customHeight="1">
      <c r="B2" t="s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40.15" customHeight="1">
      <c r="B3" t="s" s="249">
        <v>1</v>
      </c>
      <c r="C3" t="s" s="249">
        <v>229</v>
      </c>
      <c r="D3" t="s" s="249">
        <v>2</v>
      </c>
      <c r="E3" t="s" s="249">
        <v>3</v>
      </c>
      <c r="F3" t="s" s="249">
        <v>4</v>
      </c>
      <c r="G3" t="s" s="249">
        <v>158</v>
      </c>
      <c r="H3" t="s" s="249">
        <v>151</v>
      </c>
      <c r="I3" t="s" s="249">
        <v>230</v>
      </c>
      <c r="J3" t="s" s="249">
        <v>346</v>
      </c>
      <c r="K3" t="s" s="249">
        <v>5</v>
      </c>
      <c r="L3" t="s" s="249">
        <v>6</v>
      </c>
      <c r="M3" t="s" s="249">
        <v>160</v>
      </c>
      <c r="N3" t="s" s="249">
        <v>8</v>
      </c>
      <c r="O3" t="s" s="249">
        <v>9</v>
      </c>
      <c r="P3" t="s" s="249">
        <v>161</v>
      </c>
    </row>
    <row r="4" ht="29.55" customHeight="1">
      <c r="B4" t="s" s="250">
        <v>16</v>
      </c>
      <c r="C4" t="s" s="251">
        <v>163</v>
      </c>
      <c r="D4" t="s" s="252">
        <v>162</v>
      </c>
      <c r="E4" t="s" s="252">
        <v>25</v>
      </c>
      <c r="F4" t="s" s="252">
        <v>184</v>
      </c>
      <c r="G4" t="s" s="252">
        <v>231</v>
      </c>
      <c r="H4" s="253">
        <v>4500</v>
      </c>
      <c r="I4" s="254">
        <v>0</v>
      </c>
      <c r="J4" s="254">
        <v>0</v>
      </c>
      <c r="K4" t="s" s="252">
        <v>12</v>
      </c>
      <c r="L4" t="s" s="252">
        <v>12</v>
      </c>
      <c r="M4" t="s" s="252">
        <v>12</v>
      </c>
      <c r="N4" t="s" s="252">
        <v>14</v>
      </c>
      <c r="O4" t="s" s="252">
        <v>15</v>
      </c>
      <c r="P4" t="s" s="252">
        <v>13</v>
      </c>
    </row>
    <row r="5" ht="29.35" customHeight="1">
      <c r="B5" t="s" s="255">
        <v>18</v>
      </c>
      <c r="C5" t="s" s="256">
        <v>166</v>
      </c>
      <c r="D5" t="s" s="257">
        <v>162</v>
      </c>
      <c r="E5" s="258">
        <v>945</v>
      </c>
      <c r="F5" t="s" s="257">
        <v>11</v>
      </c>
      <c r="G5" s="259"/>
      <c r="H5" s="260">
        <v>945</v>
      </c>
      <c r="I5" s="261">
        <v>0</v>
      </c>
      <c r="J5" s="262">
        <v>0</v>
      </c>
      <c r="K5" t="s" s="257">
        <v>12</v>
      </c>
      <c r="L5" t="s" s="257">
        <v>12</v>
      </c>
      <c r="M5" t="s" s="257">
        <v>12</v>
      </c>
      <c r="N5" t="s" s="257">
        <v>14</v>
      </c>
      <c r="O5" t="s" s="257">
        <v>15</v>
      </c>
      <c r="P5" t="s" s="257">
        <v>13</v>
      </c>
    </row>
    <row r="6" ht="37.95" customHeight="1">
      <c r="B6" t="s" s="255">
        <v>24</v>
      </c>
      <c r="C6" t="s" s="256">
        <v>172</v>
      </c>
      <c r="D6" t="s" s="263">
        <v>173</v>
      </c>
      <c r="E6" t="s" s="257">
        <v>25</v>
      </c>
      <c r="F6" t="s" s="257">
        <v>26</v>
      </c>
      <c r="G6" s="259"/>
      <c r="H6" s="261">
        <v>0</v>
      </c>
      <c r="I6" s="261">
        <v>0</v>
      </c>
      <c r="J6" s="262">
        <v>0</v>
      </c>
      <c r="K6" t="s" s="257">
        <v>13</v>
      </c>
      <c r="L6" t="s" s="257">
        <v>12</v>
      </c>
      <c r="M6" t="s" s="257">
        <v>13</v>
      </c>
      <c r="N6" t="s" s="257">
        <v>15</v>
      </c>
      <c r="O6" t="s" s="257">
        <v>15</v>
      </c>
      <c r="P6" t="s" s="257">
        <v>13</v>
      </c>
    </row>
    <row r="7" ht="29.35" customHeight="1">
      <c r="B7" t="s" s="264">
        <v>109</v>
      </c>
      <c r="C7" t="s" s="256">
        <v>233</v>
      </c>
      <c r="D7" t="s" s="257">
        <v>162</v>
      </c>
      <c r="E7" s="258">
        <v>550</v>
      </c>
      <c r="F7" t="s" s="257">
        <v>6</v>
      </c>
      <c r="G7" s="259"/>
      <c r="H7" s="261">
        <v>0</v>
      </c>
      <c r="I7" s="261">
        <v>0</v>
      </c>
      <c r="J7" s="261">
        <v>0</v>
      </c>
      <c r="K7" t="s" s="257">
        <v>13</v>
      </c>
      <c r="L7" t="s" s="257">
        <v>12</v>
      </c>
      <c r="M7" t="s" s="257">
        <v>13</v>
      </c>
      <c r="N7" t="s" s="257">
        <v>179</v>
      </c>
      <c r="O7" t="s" s="257">
        <v>179</v>
      </c>
      <c r="P7" t="s" s="257">
        <v>13</v>
      </c>
    </row>
    <row r="8" ht="29.35" customHeight="1">
      <c r="B8" t="s" s="255">
        <v>154</v>
      </c>
      <c r="C8" t="s" s="265">
        <v>183</v>
      </c>
      <c r="D8" t="s" s="257">
        <v>162</v>
      </c>
      <c r="E8" s="258">
        <v>995</v>
      </c>
      <c r="F8" t="s" s="257">
        <v>347</v>
      </c>
      <c r="G8" t="s" s="257">
        <v>236</v>
      </c>
      <c r="H8" s="260">
        <v>995</v>
      </c>
      <c r="I8" s="260">
        <v>995</v>
      </c>
      <c r="J8" s="262">
        <v>0</v>
      </c>
      <c r="K8" t="s" s="257">
        <v>12</v>
      </c>
      <c r="L8" t="s" s="257">
        <v>12</v>
      </c>
      <c r="M8" t="s" s="257">
        <v>12</v>
      </c>
      <c r="N8" t="s" s="257">
        <v>14</v>
      </c>
      <c r="O8" t="s" s="257">
        <v>15</v>
      </c>
      <c r="P8" t="s" s="257">
        <v>13</v>
      </c>
    </row>
    <row r="9" ht="29.35" customHeight="1">
      <c r="B9" t="s" s="255">
        <v>155</v>
      </c>
      <c r="C9" t="s" s="265">
        <v>182</v>
      </c>
      <c r="D9" t="s" s="263">
        <v>177</v>
      </c>
      <c r="E9" t="s" s="257">
        <v>25</v>
      </c>
      <c r="F9" t="s" s="257">
        <v>184</v>
      </c>
      <c r="G9" t="s" s="257">
        <v>185</v>
      </c>
      <c r="H9" s="260">
        <v>3500</v>
      </c>
      <c r="I9" s="261">
        <v>0</v>
      </c>
      <c r="J9" s="261">
        <v>0</v>
      </c>
      <c r="K9" t="s" s="257">
        <v>12</v>
      </c>
      <c r="L9" t="s" s="257">
        <v>12</v>
      </c>
      <c r="M9" t="s" s="257">
        <v>12</v>
      </c>
      <c r="N9" t="s" s="257">
        <v>14</v>
      </c>
      <c r="O9" t="s" s="257">
        <v>15</v>
      </c>
      <c r="P9" t="s" s="257">
        <v>13</v>
      </c>
    </row>
    <row r="10" ht="29.35" customHeight="1">
      <c r="B10" t="s" s="255">
        <v>19</v>
      </c>
      <c r="C10" t="s" s="265">
        <v>237</v>
      </c>
      <c r="D10" t="s" s="257">
        <v>162</v>
      </c>
      <c r="E10" s="258">
        <v>995</v>
      </c>
      <c r="F10" t="s" s="257">
        <v>11</v>
      </c>
      <c r="G10" t="s" s="257">
        <v>238</v>
      </c>
      <c r="H10" s="261">
        <v>0</v>
      </c>
      <c r="I10" s="260">
        <v>995</v>
      </c>
      <c r="J10" s="262">
        <v>0</v>
      </c>
      <c r="K10" t="s" s="257">
        <v>12</v>
      </c>
      <c r="L10" t="s" s="257">
        <v>12</v>
      </c>
      <c r="M10" t="s" s="257">
        <v>12</v>
      </c>
      <c r="N10" t="s" s="257">
        <v>14</v>
      </c>
      <c r="O10" t="s" s="257">
        <v>15</v>
      </c>
      <c r="P10" t="s" s="257">
        <v>13</v>
      </c>
    </row>
    <row r="11" ht="29.35" customHeight="1">
      <c r="B11" t="s" s="264">
        <v>239</v>
      </c>
      <c r="C11" t="s" s="265">
        <v>240</v>
      </c>
      <c r="D11" t="s" s="266">
        <v>162</v>
      </c>
      <c r="E11" s="258">
        <v>750</v>
      </c>
      <c r="F11" t="s" s="257">
        <v>6</v>
      </c>
      <c r="G11" t="s" s="257">
        <v>241</v>
      </c>
      <c r="H11" s="261">
        <v>0</v>
      </c>
      <c r="I11" s="260">
        <v>750</v>
      </c>
      <c r="J11" s="262">
        <v>0</v>
      </c>
      <c r="K11" t="s" s="257">
        <v>13</v>
      </c>
      <c r="L11" t="s" s="257">
        <v>12</v>
      </c>
      <c r="M11" t="s" s="257">
        <v>13</v>
      </c>
      <c r="N11" t="s" s="257">
        <v>179</v>
      </c>
      <c r="O11" t="s" s="257">
        <v>179</v>
      </c>
      <c r="P11" t="s" s="257">
        <v>13</v>
      </c>
    </row>
    <row r="12" ht="29.35" customHeight="1">
      <c r="B12" t="s" s="264">
        <v>242</v>
      </c>
      <c r="C12" t="s" s="265">
        <v>240</v>
      </c>
      <c r="D12" t="s" s="266">
        <v>162</v>
      </c>
      <c r="E12" s="258">
        <v>995</v>
      </c>
      <c r="F12" t="s" s="257">
        <v>243</v>
      </c>
      <c r="G12" t="s" s="257">
        <v>241</v>
      </c>
      <c r="H12" s="261">
        <v>0</v>
      </c>
      <c r="I12" s="260">
        <v>1200</v>
      </c>
      <c r="J12" s="261">
        <v>0</v>
      </c>
      <c r="K12" t="s" s="257">
        <v>12</v>
      </c>
      <c r="L12" t="s" s="257">
        <v>12</v>
      </c>
      <c r="M12" t="s" s="257">
        <v>12</v>
      </c>
      <c r="N12" t="s" s="257">
        <v>348</v>
      </c>
      <c r="O12" t="s" s="257">
        <v>15</v>
      </c>
      <c r="P12" t="s" s="257">
        <v>13</v>
      </c>
    </row>
    <row r="13" ht="29.35" customHeight="1">
      <c r="B13" t="s" s="264">
        <v>244</v>
      </c>
      <c r="C13" t="s" s="265">
        <v>245</v>
      </c>
      <c r="D13" t="s" s="266">
        <v>162</v>
      </c>
      <c r="E13" s="258">
        <v>995</v>
      </c>
      <c r="F13" t="s" s="257">
        <v>243</v>
      </c>
      <c r="G13" t="s" s="257">
        <v>246</v>
      </c>
      <c r="H13" s="261">
        <v>0</v>
      </c>
      <c r="I13" s="260">
        <v>1200</v>
      </c>
      <c r="J13" s="261">
        <v>0</v>
      </c>
      <c r="K13" t="s" s="257">
        <v>12</v>
      </c>
      <c r="L13" t="s" s="257">
        <v>12</v>
      </c>
      <c r="M13" t="s" s="257">
        <v>12</v>
      </c>
      <c r="N13" t="s" s="257">
        <v>348</v>
      </c>
      <c r="O13" t="s" s="257">
        <v>15</v>
      </c>
      <c r="P13" t="s" s="257">
        <v>13</v>
      </c>
    </row>
    <row r="14" ht="29.35" customHeight="1">
      <c r="B14" t="s" s="264">
        <v>47</v>
      </c>
      <c r="C14" t="s" s="265">
        <v>247</v>
      </c>
      <c r="D14" t="s" s="266">
        <v>162</v>
      </c>
      <c r="E14" s="258">
        <v>450</v>
      </c>
      <c r="F14" t="s" s="257">
        <v>243</v>
      </c>
      <c r="G14" t="s" s="257">
        <v>248</v>
      </c>
      <c r="H14" s="261">
        <v>0</v>
      </c>
      <c r="I14" s="260">
        <v>900</v>
      </c>
      <c r="J14" s="261">
        <v>0</v>
      </c>
      <c r="K14" t="s" s="257">
        <v>12</v>
      </c>
      <c r="L14" t="s" s="257">
        <v>12</v>
      </c>
      <c r="M14" t="s" s="257">
        <v>12</v>
      </c>
      <c r="N14" t="s" s="257">
        <v>348</v>
      </c>
      <c r="O14" t="s" s="257">
        <v>14</v>
      </c>
      <c r="P14" t="s" s="257">
        <v>249</v>
      </c>
    </row>
    <row r="15" ht="29.35" customHeight="1">
      <c r="B15" t="s" s="264">
        <v>250</v>
      </c>
      <c r="C15" t="s" s="265">
        <v>251</v>
      </c>
      <c r="D15" t="s" s="266">
        <v>162</v>
      </c>
      <c r="E15" s="258">
        <v>1200</v>
      </c>
      <c r="F15" t="s" s="257">
        <v>252</v>
      </c>
      <c r="G15" t="s" s="257">
        <v>253</v>
      </c>
      <c r="H15" s="261">
        <v>0</v>
      </c>
      <c r="I15" s="260">
        <v>1200</v>
      </c>
      <c r="J15" s="261">
        <v>0</v>
      </c>
      <c r="K15" t="s" s="257">
        <v>13</v>
      </c>
      <c r="L15" t="s" s="257">
        <v>12</v>
      </c>
      <c r="M15" t="s" s="257">
        <v>13</v>
      </c>
      <c r="N15" t="s" s="257">
        <v>179</v>
      </c>
      <c r="O15" t="s" s="257">
        <v>179</v>
      </c>
      <c r="P15" t="s" s="257">
        <v>13</v>
      </c>
    </row>
    <row r="16" ht="29.35" customHeight="1">
      <c r="B16" t="s" s="264">
        <v>349</v>
      </c>
      <c r="C16" t="s" s="265">
        <v>350</v>
      </c>
      <c r="D16" s="260">
        <v>750</v>
      </c>
      <c r="E16" s="258">
        <v>850</v>
      </c>
      <c r="F16" t="s" s="257">
        <v>347</v>
      </c>
      <c r="G16" t="s" s="266">
        <v>351</v>
      </c>
      <c r="H16" s="261">
        <v>0</v>
      </c>
      <c r="I16" s="261">
        <v>0</v>
      </c>
      <c r="J16" s="260">
        <v>850</v>
      </c>
      <c r="K16" t="s" s="257">
        <v>13</v>
      </c>
      <c r="L16" t="s" s="257">
        <v>12</v>
      </c>
      <c r="M16" t="s" s="257">
        <v>13</v>
      </c>
      <c r="N16" t="s" s="257">
        <v>179</v>
      </c>
      <c r="O16" t="s" s="257">
        <v>179</v>
      </c>
      <c r="P16" t="s" s="257">
        <v>13</v>
      </c>
    </row>
    <row r="17" ht="29.35" customHeight="1">
      <c r="B17" t="s" s="264">
        <v>254</v>
      </c>
      <c r="C17" t="s" s="265">
        <v>245</v>
      </c>
      <c r="D17" t="s" s="266">
        <v>162</v>
      </c>
      <c r="E17" s="258">
        <v>600</v>
      </c>
      <c r="F17" t="s" s="257">
        <v>252</v>
      </c>
      <c r="G17" t="s" s="257">
        <v>256</v>
      </c>
      <c r="H17" s="261">
        <v>0</v>
      </c>
      <c r="I17" s="260">
        <v>600</v>
      </c>
      <c r="J17" s="260">
        <v>600</v>
      </c>
      <c r="K17" t="s" s="257">
        <v>12</v>
      </c>
      <c r="L17" t="s" s="257">
        <v>12</v>
      </c>
      <c r="M17" t="s" s="257">
        <v>12</v>
      </c>
      <c r="N17" t="s" s="257">
        <v>348</v>
      </c>
      <c r="O17" t="s" s="257">
        <v>348</v>
      </c>
      <c r="P17" t="s" s="257">
        <v>249</v>
      </c>
    </row>
    <row r="18" ht="29.35" customHeight="1">
      <c r="B18" t="s" s="264">
        <v>257</v>
      </c>
      <c r="C18" t="s" s="265">
        <v>258</v>
      </c>
      <c r="D18" t="s" s="266">
        <v>162</v>
      </c>
      <c r="E18" s="258">
        <v>1200</v>
      </c>
      <c r="F18" t="s" s="257">
        <v>252</v>
      </c>
      <c r="G18" t="s" s="257">
        <v>246</v>
      </c>
      <c r="H18" s="261">
        <v>0</v>
      </c>
      <c r="I18" s="260">
        <v>1200</v>
      </c>
      <c r="J18" s="261">
        <v>0</v>
      </c>
      <c r="K18" t="s" s="257">
        <v>12</v>
      </c>
      <c r="L18" t="s" s="257">
        <v>12</v>
      </c>
      <c r="M18" t="s" s="257">
        <v>12</v>
      </c>
      <c r="N18" t="s" s="257">
        <v>348</v>
      </c>
      <c r="O18" t="s" s="257">
        <v>348</v>
      </c>
      <c r="P18" t="s" s="257">
        <v>249</v>
      </c>
    </row>
    <row r="19" ht="29.35" customHeight="1">
      <c r="B19" t="s" s="264">
        <v>259</v>
      </c>
      <c r="C19" t="s" s="265">
        <v>260</v>
      </c>
      <c r="D19" t="s" s="266">
        <v>162</v>
      </c>
      <c r="E19" s="258">
        <v>250</v>
      </c>
      <c r="F19" t="s" s="257">
        <v>188</v>
      </c>
      <c r="G19" t="s" s="257">
        <v>261</v>
      </c>
      <c r="H19" s="261">
        <v>0</v>
      </c>
      <c r="I19" s="260">
        <v>250</v>
      </c>
      <c r="J19" s="262">
        <v>0</v>
      </c>
      <c r="K19" t="s" s="257">
        <v>12</v>
      </c>
      <c r="L19" t="s" s="257">
        <v>12</v>
      </c>
      <c r="M19" t="s" s="257">
        <v>12</v>
      </c>
      <c r="N19" t="s" s="257">
        <v>348</v>
      </c>
      <c r="O19" t="s" s="257">
        <v>348</v>
      </c>
      <c r="P19" t="s" s="257">
        <v>249</v>
      </c>
    </row>
    <row r="20" ht="29.35" customHeight="1">
      <c r="B20" t="s" s="264">
        <v>262</v>
      </c>
      <c r="C20" t="s" s="265">
        <v>263</v>
      </c>
      <c r="D20" t="s" s="266">
        <v>162</v>
      </c>
      <c r="E20" s="258">
        <v>1200</v>
      </c>
      <c r="F20" t="s" s="257">
        <v>252</v>
      </c>
      <c r="G20" t="s" s="257">
        <v>264</v>
      </c>
      <c r="H20" s="261">
        <v>0</v>
      </c>
      <c r="I20" s="260">
        <v>1200</v>
      </c>
      <c r="J20" s="261">
        <v>0</v>
      </c>
      <c r="K20" t="s" s="257">
        <v>12</v>
      </c>
      <c r="L20" t="s" s="257">
        <v>12</v>
      </c>
      <c r="M20" t="s" s="257">
        <v>12</v>
      </c>
      <c r="N20" t="s" s="257">
        <v>348</v>
      </c>
      <c r="O20" t="s" s="257">
        <v>348</v>
      </c>
      <c r="P20" t="s" s="257">
        <v>249</v>
      </c>
    </row>
    <row r="21" ht="29.35" customHeight="1">
      <c r="B21" t="s" s="264">
        <v>265</v>
      </c>
      <c r="C21" t="s" s="265">
        <v>266</v>
      </c>
      <c r="D21" t="s" s="266">
        <v>162</v>
      </c>
      <c r="E21" s="258">
        <v>995</v>
      </c>
      <c r="F21" t="s" s="257">
        <v>11</v>
      </c>
      <c r="G21" t="s" s="257">
        <v>267</v>
      </c>
      <c r="H21" s="261">
        <v>0</v>
      </c>
      <c r="I21" s="260">
        <v>995</v>
      </c>
      <c r="J21" s="260">
        <v>995</v>
      </c>
      <c r="K21" t="s" s="257">
        <v>12</v>
      </c>
      <c r="L21" t="s" s="257">
        <v>12</v>
      </c>
      <c r="M21" t="s" s="257">
        <v>12</v>
      </c>
      <c r="N21" t="s" s="257">
        <v>348</v>
      </c>
      <c r="O21" t="s" s="257">
        <v>348</v>
      </c>
      <c r="P21" t="s" s="257">
        <v>249</v>
      </c>
    </row>
    <row r="22" ht="29.35" customHeight="1">
      <c r="B22" t="s" s="264">
        <v>268</v>
      </c>
      <c r="C22" t="s" s="265">
        <v>181</v>
      </c>
      <c r="D22" t="s" s="266">
        <v>162</v>
      </c>
      <c r="E22" s="258">
        <v>1200</v>
      </c>
      <c r="F22" t="s" s="257">
        <v>269</v>
      </c>
      <c r="G22" t="s" s="257">
        <v>234</v>
      </c>
      <c r="H22" s="261">
        <v>0</v>
      </c>
      <c r="I22" s="260">
        <v>1200</v>
      </c>
      <c r="J22" s="262">
        <v>0</v>
      </c>
      <c r="K22" t="s" s="257">
        <v>12</v>
      </c>
      <c r="L22" t="s" s="257">
        <v>12</v>
      </c>
      <c r="M22" t="s" s="257">
        <v>12</v>
      </c>
      <c r="N22" t="s" s="257">
        <v>348</v>
      </c>
      <c r="O22" t="s" s="257">
        <v>348</v>
      </c>
      <c r="P22" t="s" s="257">
        <v>249</v>
      </c>
    </row>
    <row r="23" ht="29.35" customHeight="1">
      <c r="B23" t="s" s="264">
        <v>270</v>
      </c>
      <c r="C23" t="s" s="265">
        <v>183</v>
      </c>
      <c r="D23" t="s" s="266">
        <v>162</v>
      </c>
      <c r="E23" s="258">
        <v>1200</v>
      </c>
      <c r="F23" t="s" s="257">
        <v>243</v>
      </c>
      <c r="G23" t="s" s="257">
        <v>271</v>
      </c>
      <c r="H23" s="261">
        <v>0</v>
      </c>
      <c r="I23" s="260">
        <v>1200</v>
      </c>
      <c r="J23" s="261">
        <v>0</v>
      </c>
      <c r="K23" t="s" s="257">
        <v>12</v>
      </c>
      <c r="L23" t="s" s="257">
        <v>12</v>
      </c>
      <c r="M23" t="s" s="257">
        <v>12</v>
      </c>
      <c r="N23" t="s" s="257">
        <v>348</v>
      </c>
      <c r="O23" t="s" s="257">
        <v>348</v>
      </c>
      <c r="P23" t="s" s="257">
        <v>249</v>
      </c>
    </row>
    <row r="24" ht="29.35" customHeight="1">
      <c r="B24" t="s" s="264">
        <v>272</v>
      </c>
      <c r="C24" t="s" s="265">
        <v>183</v>
      </c>
      <c r="D24" t="s" s="266">
        <v>162</v>
      </c>
      <c r="E24" s="258">
        <v>1200</v>
      </c>
      <c r="F24" t="s" s="257">
        <v>243</v>
      </c>
      <c r="G24" t="s" s="257">
        <v>271</v>
      </c>
      <c r="H24" s="261">
        <v>0</v>
      </c>
      <c r="I24" s="260">
        <v>1200</v>
      </c>
      <c r="J24" s="261">
        <v>0</v>
      </c>
      <c r="K24" t="s" s="257">
        <v>12</v>
      </c>
      <c r="L24" t="s" s="257">
        <v>12</v>
      </c>
      <c r="M24" t="s" s="257">
        <v>12</v>
      </c>
      <c r="N24" t="s" s="257">
        <v>348</v>
      </c>
      <c r="O24" t="s" s="257">
        <v>348</v>
      </c>
      <c r="P24" t="s" s="257">
        <v>249</v>
      </c>
    </row>
    <row r="25" ht="29.35" customHeight="1">
      <c r="B25" t="s" s="264">
        <v>352</v>
      </c>
      <c r="C25" t="s" s="265">
        <v>353</v>
      </c>
      <c r="D25" s="260">
        <v>300</v>
      </c>
      <c r="E25" s="258">
        <v>1200</v>
      </c>
      <c r="F25" t="s" s="257">
        <v>269</v>
      </c>
      <c r="G25" t="s" s="257">
        <v>354</v>
      </c>
      <c r="H25" s="261">
        <v>0</v>
      </c>
      <c r="I25" s="261">
        <v>0</v>
      </c>
      <c r="J25" s="260">
        <v>1200</v>
      </c>
      <c r="K25" t="s" s="257">
        <v>12</v>
      </c>
      <c r="L25" t="s" s="257">
        <v>12</v>
      </c>
      <c r="M25" t="s" s="257">
        <v>12</v>
      </c>
      <c r="N25" t="s" s="257">
        <v>348</v>
      </c>
      <c r="O25" t="s" s="257">
        <v>348</v>
      </c>
      <c r="P25" t="s" s="257">
        <v>249</v>
      </c>
    </row>
    <row r="26" ht="39.95" customHeight="1">
      <c r="B26" t="s" s="264">
        <v>355</v>
      </c>
      <c r="C26" t="s" s="265">
        <v>356</v>
      </c>
      <c r="D26" s="260">
        <v>800</v>
      </c>
      <c r="E26" s="258">
        <v>1200</v>
      </c>
      <c r="F26" t="s" s="257">
        <v>269</v>
      </c>
      <c r="G26" t="s" s="257">
        <v>253</v>
      </c>
      <c r="H26" s="261">
        <v>0</v>
      </c>
      <c r="I26" s="261">
        <v>0</v>
      </c>
      <c r="J26" s="260">
        <v>1200</v>
      </c>
      <c r="K26" t="s" s="257">
        <v>12</v>
      </c>
      <c r="L26" t="s" s="257">
        <v>12</v>
      </c>
      <c r="M26" t="s" s="257">
        <v>12</v>
      </c>
      <c r="N26" t="s" s="257">
        <v>348</v>
      </c>
      <c r="O26" t="s" s="257">
        <v>348</v>
      </c>
      <c r="P26" t="s" s="257">
        <v>249</v>
      </c>
    </row>
    <row r="27" ht="29.35" customHeight="1">
      <c r="B27" t="s" s="264">
        <v>357</v>
      </c>
      <c r="C27" t="s" s="265">
        <v>356</v>
      </c>
      <c r="D27" s="260">
        <v>800</v>
      </c>
      <c r="E27" s="258">
        <v>1200</v>
      </c>
      <c r="F27" t="s" s="257">
        <v>269</v>
      </c>
      <c r="G27" t="s" s="257">
        <v>253</v>
      </c>
      <c r="H27" s="261">
        <v>0</v>
      </c>
      <c r="I27" s="261">
        <v>0</v>
      </c>
      <c r="J27" s="260">
        <v>1200</v>
      </c>
      <c r="K27" t="s" s="257">
        <v>12</v>
      </c>
      <c r="L27" t="s" s="257">
        <v>12</v>
      </c>
      <c r="M27" t="s" s="257">
        <v>12</v>
      </c>
      <c r="N27" t="s" s="257">
        <v>348</v>
      </c>
      <c r="O27" t="s" s="257">
        <v>348</v>
      </c>
      <c r="P27" t="s" s="257">
        <v>249</v>
      </c>
    </row>
    <row r="28" ht="29.35" customHeight="1">
      <c r="B28" t="s" s="264">
        <v>358</v>
      </c>
      <c r="C28" t="s" s="265">
        <v>256</v>
      </c>
      <c r="D28" s="260">
        <v>750</v>
      </c>
      <c r="E28" s="258">
        <v>1200</v>
      </c>
      <c r="F28" t="s" s="257">
        <v>269</v>
      </c>
      <c r="G28" t="s" s="257">
        <v>246</v>
      </c>
      <c r="H28" s="261">
        <v>0</v>
      </c>
      <c r="I28" s="261">
        <v>0</v>
      </c>
      <c r="J28" s="260">
        <v>1200</v>
      </c>
      <c r="K28" t="s" s="257">
        <v>12</v>
      </c>
      <c r="L28" t="s" s="257">
        <v>12</v>
      </c>
      <c r="M28" t="s" s="257">
        <v>12</v>
      </c>
      <c r="N28" t="s" s="257">
        <v>348</v>
      </c>
      <c r="O28" t="s" s="257">
        <v>348</v>
      </c>
      <c r="P28" t="s" s="257">
        <v>249</v>
      </c>
    </row>
    <row r="29" ht="29.35" customHeight="1">
      <c r="B29" t="s" s="264">
        <v>359</v>
      </c>
      <c r="C29" t="s" s="265">
        <v>256</v>
      </c>
      <c r="D29" s="267">
        <v>300</v>
      </c>
      <c r="E29" s="258">
        <v>1200</v>
      </c>
      <c r="F29" t="s" s="257">
        <v>252</v>
      </c>
      <c r="G29" t="s" s="257">
        <v>246</v>
      </c>
      <c r="H29" s="261">
        <v>0</v>
      </c>
      <c r="I29" s="261">
        <v>0</v>
      </c>
      <c r="J29" s="260">
        <v>600</v>
      </c>
      <c r="K29" t="s" s="257">
        <v>12</v>
      </c>
      <c r="L29" t="s" s="257">
        <v>12</v>
      </c>
      <c r="M29" t="s" s="257">
        <v>12</v>
      </c>
      <c r="N29" t="s" s="257">
        <v>348</v>
      </c>
      <c r="O29" t="s" s="257">
        <v>348</v>
      </c>
      <c r="P29" t="s" s="257">
        <v>249</v>
      </c>
    </row>
    <row r="30" ht="29.35" customHeight="1">
      <c r="B30" t="s" s="264">
        <v>360</v>
      </c>
      <c r="C30" t="s" s="265">
        <v>361</v>
      </c>
      <c r="D30" s="260">
        <v>300</v>
      </c>
      <c r="E30" s="258">
        <v>1350</v>
      </c>
      <c r="F30" t="s" s="257">
        <v>269</v>
      </c>
      <c r="G30" t="s" s="257">
        <v>362</v>
      </c>
      <c r="H30" s="261">
        <v>0</v>
      </c>
      <c r="I30" s="261">
        <v>0</v>
      </c>
      <c r="J30" s="260">
        <v>1350</v>
      </c>
      <c r="K30" t="s" s="257">
        <v>12</v>
      </c>
      <c r="L30" t="s" s="257">
        <v>12</v>
      </c>
      <c r="M30" t="s" s="257">
        <v>12</v>
      </c>
      <c r="N30" t="s" s="257">
        <v>348</v>
      </c>
      <c r="O30" t="s" s="257">
        <v>348</v>
      </c>
      <c r="P30" t="s" s="257">
        <v>249</v>
      </c>
    </row>
    <row r="31" ht="29.35" customHeight="1">
      <c r="B31" t="s" s="264">
        <v>363</v>
      </c>
      <c r="C31" t="s" s="265">
        <v>267</v>
      </c>
      <c r="D31" s="260">
        <v>300</v>
      </c>
      <c r="E31" s="258">
        <v>1350</v>
      </c>
      <c r="F31" t="s" s="257">
        <v>269</v>
      </c>
      <c r="G31" t="s" s="257">
        <v>364</v>
      </c>
      <c r="H31" s="261">
        <v>0</v>
      </c>
      <c r="I31" s="261">
        <v>0</v>
      </c>
      <c r="J31" s="260">
        <v>1350</v>
      </c>
      <c r="K31" t="s" s="257">
        <v>12</v>
      </c>
      <c r="L31" t="s" s="257">
        <v>12</v>
      </c>
      <c r="M31" t="s" s="257">
        <v>12</v>
      </c>
      <c r="N31" t="s" s="257">
        <v>348</v>
      </c>
      <c r="O31" t="s" s="257">
        <v>348</v>
      </c>
      <c r="P31" t="s" s="257">
        <v>249</v>
      </c>
    </row>
    <row r="32" ht="22.75" customHeight="1">
      <c r="B32" t="s" s="255">
        <v>45</v>
      </c>
      <c r="C32" t="s" s="265">
        <v>236</v>
      </c>
      <c r="D32" t="s" s="266">
        <v>162</v>
      </c>
      <c r="E32" s="267">
        <v>995</v>
      </c>
      <c r="F32" t="s" s="266">
        <v>11</v>
      </c>
      <c r="G32" t="s" s="266">
        <v>271</v>
      </c>
      <c r="H32" s="260">
        <v>995</v>
      </c>
      <c r="I32" s="261">
        <v>0</v>
      </c>
      <c r="J32" s="260">
        <v>995</v>
      </c>
      <c r="K32" t="s" s="257">
        <v>12</v>
      </c>
      <c r="L32" t="s" s="257">
        <v>12</v>
      </c>
      <c r="M32" t="s" s="257">
        <v>12</v>
      </c>
      <c r="N32" t="s" s="257">
        <v>31</v>
      </c>
      <c r="O32" t="s" s="257">
        <v>15</v>
      </c>
      <c r="P32" t="s" s="257">
        <v>13</v>
      </c>
    </row>
    <row r="33" ht="22.75" customHeight="1">
      <c r="B33" t="s" s="255">
        <v>365</v>
      </c>
      <c r="C33" t="s" s="265">
        <v>366</v>
      </c>
      <c r="D33" s="260">
        <v>300</v>
      </c>
      <c r="E33" s="267">
        <v>1550</v>
      </c>
      <c r="F33" t="s" s="257">
        <v>269</v>
      </c>
      <c r="G33" t="s" s="266">
        <v>367</v>
      </c>
      <c r="H33" s="261">
        <v>0</v>
      </c>
      <c r="I33" s="261">
        <v>0</v>
      </c>
      <c r="J33" s="260">
        <v>1550</v>
      </c>
      <c r="K33" t="s" s="257">
        <v>12</v>
      </c>
      <c r="L33" t="s" s="257">
        <v>12</v>
      </c>
      <c r="M33" t="s" s="257">
        <v>12</v>
      </c>
      <c r="N33" t="s" s="257">
        <v>348</v>
      </c>
      <c r="O33" t="s" s="257">
        <v>348</v>
      </c>
      <c r="P33" t="s" s="257">
        <v>249</v>
      </c>
    </row>
    <row r="34" ht="22.75" customHeight="1">
      <c r="B34" t="s" s="264">
        <v>368</v>
      </c>
      <c r="C34" t="s" s="265">
        <v>369</v>
      </c>
      <c r="D34" s="260">
        <v>500</v>
      </c>
      <c r="E34" s="267">
        <v>1350</v>
      </c>
      <c r="F34" t="s" s="257">
        <v>269</v>
      </c>
      <c r="G34" t="s" s="266">
        <v>370</v>
      </c>
      <c r="H34" s="261"/>
      <c r="I34" s="261"/>
      <c r="J34" s="260">
        <v>1350</v>
      </c>
      <c r="K34" t="s" s="257">
        <v>12</v>
      </c>
      <c r="L34" t="s" s="257">
        <v>12</v>
      </c>
      <c r="M34" t="s" s="257">
        <v>12</v>
      </c>
      <c r="N34" t="s" s="257">
        <v>348</v>
      </c>
      <c r="O34" t="s" s="257">
        <v>348</v>
      </c>
      <c r="P34" t="s" s="257">
        <v>249</v>
      </c>
    </row>
    <row r="35" ht="22.75" customHeight="1">
      <c r="B35" t="s" s="264">
        <v>371</v>
      </c>
      <c r="C35" t="s" s="265">
        <v>369</v>
      </c>
      <c r="D35" s="260">
        <v>500</v>
      </c>
      <c r="E35" s="267">
        <v>1350</v>
      </c>
      <c r="F35" t="s" s="257">
        <v>269</v>
      </c>
      <c r="G35" t="s" s="266">
        <v>370</v>
      </c>
      <c r="H35" s="261"/>
      <c r="I35" s="261"/>
      <c r="J35" s="260">
        <v>1350</v>
      </c>
      <c r="K35" t="s" s="257">
        <v>12</v>
      </c>
      <c r="L35" t="s" s="257">
        <v>12</v>
      </c>
      <c r="M35" t="s" s="257">
        <v>12</v>
      </c>
      <c r="N35" t="s" s="257">
        <v>348</v>
      </c>
      <c r="O35" t="s" s="257">
        <v>348</v>
      </c>
      <c r="P35" t="s" s="257">
        <v>249</v>
      </c>
    </row>
    <row r="36" ht="23.95" customHeight="1">
      <c r="B36" t="s" s="255">
        <v>30</v>
      </c>
      <c r="C36" s="268"/>
      <c r="D36" s="258"/>
      <c r="E36" s="258" cm="1">
        <f t="array" ref="E36">SUM(E4:E35)</f>
        <v>30515</v>
      </c>
      <c r="F36" s="259"/>
      <c r="G36" s="259"/>
      <c r="H36" s="260">
        <v>11930</v>
      </c>
      <c r="I36" s="260" cm="1">
        <f t="array" ref="I36">SUM($I$4:$I$24)</f>
        <v>15085</v>
      </c>
      <c r="J36" s="260" cm="1">
        <f t="array" ref="J36">SUM(J4:J35)</f>
        <v>15790</v>
      </c>
      <c r="K36" s="269"/>
      <c r="L36" s="269"/>
      <c r="M36" s="269"/>
      <c r="N36" s="269"/>
      <c r="O36" s="257"/>
      <c r="P36" s="257"/>
    </row>
    <row r="37" ht="23.95" customHeight="1">
      <c r="B37" t="s" s="255">
        <v>110</v>
      </c>
      <c r="C37" s="268"/>
      <c r="D37" s="260" cm="1">
        <f t="array" ref="D37">D25+D26+D27+D16+D28+D29+D30+D31+D33+D35+D34</f>
        <v>5600</v>
      </c>
      <c r="E37" s="258"/>
      <c r="F37" s="259"/>
      <c r="G37" s="259"/>
      <c r="H37" s="260">
        <v>21387.76</v>
      </c>
      <c r="I37" s="260">
        <v>28167.74</v>
      </c>
      <c r="J37" s="260" cm="1">
        <f t="array" ref="J37">J36+D37+J43+J61</f>
        <v>32682.78</v>
      </c>
      <c r="K37" s="269"/>
      <c r="L37" s="269"/>
      <c r="M37" s="269"/>
      <c r="N37" s="269"/>
      <c r="O37" s="257"/>
      <c r="P37" s="257"/>
    </row>
    <row r="38" ht="23.95" customHeight="1">
      <c r="B38" t="s" s="255">
        <v>111</v>
      </c>
      <c r="C38" s="268"/>
      <c r="D38" s="258"/>
      <c r="E38" s="260" cm="1">
        <f t="array" ref="E38">'FEBRERO 2026'!E31+J37</f>
        <v>138084.72</v>
      </c>
      <c r="F38" s="259"/>
      <c r="G38" s="259"/>
      <c r="H38" s="270"/>
      <c r="I38" s="270"/>
      <c r="J38" s="270"/>
      <c r="K38" s="269"/>
      <c r="L38" s="269"/>
      <c r="M38" s="269"/>
      <c r="N38" s="269"/>
      <c r="O38" s="257"/>
      <c r="P38" s="257"/>
    </row>
    <row r="39" ht="37.95" customHeight="1">
      <c r="B39" t="s" s="271">
        <v>23</v>
      </c>
      <c r="C39" t="s" s="272">
        <v>36</v>
      </c>
      <c r="D39" s="27"/>
      <c r="E39" s="27"/>
      <c r="F39" s="27"/>
      <c r="G39" s="27"/>
      <c r="H39" s="273"/>
      <c r="I39" s="273"/>
      <c r="J39" s="273"/>
      <c r="K39" s="273"/>
      <c r="L39" s="273"/>
      <c r="M39" s="273"/>
      <c r="N39" s="273"/>
      <c r="O39" s="274"/>
      <c r="P39" s="274"/>
    </row>
    <row r="40" ht="37.95" customHeight="1">
      <c r="B40" t="s" s="275">
        <v>35</v>
      </c>
      <c r="C40" s="276"/>
      <c r="D40" t="s" s="277">
        <v>38</v>
      </c>
      <c r="E40" s="278">
        <v>171.82</v>
      </c>
      <c r="F40" s="278"/>
      <c r="G40" s="278"/>
      <c r="H40" s="279">
        <v>1202.74</v>
      </c>
      <c r="I40" s="279" cm="1">
        <f t="array" ref="I40">E40*V70</f>
        <v>171.82</v>
      </c>
      <c r="J40" s="279" cm="1">
        <f t="array" ref="J40">E40*W70</f>
        <v>1202.74</v>
      </c>
      <c r="K40" s="259"/>
      <c r="L40" s="259"/>
      <c r="M40" s="259"/>
      <c r="N40" s="259"/>
      <c r="O40" t="s" s="257">
        <v>23</v>
      </c>
      <c r="P40" s="257"/>
    </row>
    <row r="41" ht="37.95" customHeight="1">
      <c r="B41" t="s" s="275">
        <v>10</v>
      </c>
      <c r="C41" s="276"/>
      <c r="D41" t="s" s="277">
        <v>38</v>
      </c>
      <c r="E41" s="278">
        <v>171.82</v>
      </c>
      <c r="F41" s="278"/>
      <c r="G41" s="278"/>
      <c r="H41" s="279">
        <v>1890</v>
      </c>
      <c r="I41" s="279">
        <v>1890</v>
      </c>
      <c r="J41" s="279">
        <v>1890.02</v>
      </c>
      <c r="K41" s="259"/>
      <c r="L41" s="259"/>
      <c r="M41" s="259"/>
      <c r="N41" t="s" s="257">
        <v>14</v>
      </c>
      <c r="O41" t="s" s="257">
        <v>23</v>
      </c>
      <c r="P41" s="257"/>
    </row>
    <row r="42" ht="37.95" customHeight="1">
      <c r="B42" t="s" s="275">
        <v>37</v>
      </c>
      <c r="C42" s="276"/>
      <c r="D42" t="s" s="277">
        <v>38</v>
      </c>
      <c r="E42" s="278">
        <v>171.82</v>
      </c>
      <c r="F42" s="278"/>
      <c r="G42" s="278"/>
      <c r="H42" s="279">
        <v>1890.02</v>
      </c>
      <c r="I42" s="279" cm="1">
        <f t="array" ref="I42">E42*V84</f>
        <v>1030.92</v>
      </c>
      <c r="J42" s="279">
        <v>1890.02</v>
      </c>
      <c r="K42" s="259"/>
      <c r="L42" s="259"/>
      <c r="M42" s="259"/>
      <c r="N42" s="259"/>
      <c r="O42" t="s" s="257">
        <v>23</v>
      </c>
      <c r="P42" s="257"/>
    </row>
    <row r="43" ht="23.95" customHeight="1">
      <c r="B43" t="s" s="275">
        <v>114</v>
      </c>
      <c r="C43" s="280"/>
      <c r="D43" s="27"/>
      <c r="E43" s="27"/>
      <c r="F43" s="27"/>
      <c r="G43" s="281"/>
      <c r="H43" s="282">
        <v>4982.76</v>
      </c>
      <c r="I43" s="283">
        <v>3092.74</v>
      </c>
      <c r="J43" s="283" cm="1">
        <f t="array" ref="J43">J40+J41+J42</f>
        <v>4982.78</v>
      </c>
      <c r="K43" s="259"/>
      <c r="L43" s="259"/>
      <c r="M43" s="259"/>
      <c r="N43" s="259"/>
      <c r="O43" t="s" s="257">
        <v>23</v>
      </c>
      <c r="P43" s="257"/>
    </row>
    <row r="44" ht="23.95" customHeight="1">
      <c r="B44" t="s" s="271">
        <v>33</v>
      </c>
      <c r="C44" t="s" s="272">
        <v>273</v>
      </c>
      <c r="D44" s="27"/>
      <c r="E44" s="27"/>
      <c r="F44" s="27"/>
      <c r="G44" s="27"/>
      <c r="H44" s="27"/>
      <c r="I44" s="27"/>
      <c r="J44" s="273"/>
      <c r="K44" s="284"/>
      <c r="L44" s="284"/>
      <c r="M44" s="284"/>
      <c r="N44" t="s" s="274">
        <v>14</v>
      </c>
      <c r="O44" t="s" s="274">
        <v>34</v>
      </c>
      <c r="P44" s="274"/>
    </row>
    <row r="45" ht="23.95" customHeight="1">
      <c r="B45" t="s" s="255">
        <v>32</v>
      </c>
      <c r="C45" t="s" s="256">
        <v>372</v>
      </c>
      <c r="D45" t="s" s="257">
        <v>162</v>
      </c>
      <c r="E45" s="258">
        <v>75</v>
      </c>
      <c r="F45" t="s" s="257">
        <v>188</v>
      </c>
      <c r="G45" t="s" s="257">
        <v>373</v>
      </c>
      <c r="H45" s="282">
        <v>500</v>
      </c>
      <c r="I45" s="261">
        <v>0</v>
      </c>
      <c r="J45" s="283">
        <v>500</v>
      </c>
      <c r="K45" s="259"/>
      <c r="L45" s="259"/>
      <c r="M45" s="259"/>
      <c r="N45" t="s" s="257">
        <v>15</v>
      </c>
      <c r="O45" t="s" s="257">
        <v>34</v>
      </c>
      <c r="P45" s="257"/>
    </row>
    <row r="46" ht="39.95" customHeight="1">
      <c r="B46" t="s" s="285">
        <v>46</v>
      </c>
      <c r="C46" s="286"/>
      <c r="D46" t="s" s="257">
        <v>162</v>
      </c>
      <c r="E46" s="267">
        <v>75</v>
      </c>
      <c r="F46" t="s" s="266">
        <v>33</v>
      </c>
      <c r="G46" s="287"/>
      <c r="H46" s="282">
        <v>675</v>
      </c>
      <c r="I46" s="283">
        <v>1200</v>
      </c>
      <c r="J46" s="283" cm="1">
        <f t="array" ref="J46">E46*W101</f>
        <v>225</v>
      </c>
      <c r="K46" s="287"/>
      <c r="L46" s="287"/>
      <c r="M46" s="287"/>
      <c r="N46" t="s" s="266">
        <v>15</v>
      </c>
      <c r="O46" t="s" s="266">
        <v>34</v>
      </c>
      <c r="P46" s="266"/>
    </row>
    <row r="47" ht="23.95" customHeight="1">
      <c r="B47" t="s" s="255">
        <v>45</v>
      </c>
      <c r="C47" t="s" s="265">
        <v>183</v>
      </c>
      <c r="D47" t="s" s="257">
        <v>162</v>
      </c>
      <c r="E47" s="267">
        <v>75</v>
      </c>
      <c r="F47" t="s" s="266">
        <v>33</v>
      </c>
      <c r="G47" s="287"/>
      <c r="H47" s="261">
        <v>0</v>
      </c>
      <c r="I47" s="283">
        <v>150</v>
      </c>
      <c r="J47" s="283">
        <v>675</v>
      </c>
      <c r="K47" s="287"/>
      <c r="L47" s="287"/>
      <c r="M47" s="287"/>
      <c r="N47" s="287"/>
      <c r="O47" s="266"/>
      <c r="P47" s="266"/>
    </row>
    <row r="48" ht="23.95" customHeight="1">
      <c r="B48" t="s" s="285">
        <v>191</v>
      </c>
      <c r="C48" t="s" s="265">
        <v>192</v>
      </c>
      <c r="D48" t="s" s="257">
        <v>162</v>
      </c>
      <c r="E48" s="258">
        <v>75</v>
      </c>
      <c r="F48" t="s" s="266">
        <v>33</v>
      </c>
      <c r="G48" s="287"/>
      <c r="H48" s="282">
        <v>450</v>
      </c>
      <c r="I48" s="283">
        <v>825</v>
      </c>
      <c r="J48" s="283" cm="1">
        <f t="array" ref="J48">E48*W102</f>
        <v>750</v>
      </c>
      <c r="K48" s="287"/>
      <c r="L48" s="287"/>
      <c r="M48" s="287"/>
      <c r="N48" s="287"/>
      <c r="O48" s="266"/>
      <c r="P48" s="266"/>
    </row>
    <row r="49" ht="23.95" customHeight="1">
      <c r="B49" t="s" s="264">
        <v>274</v>
      </c>
      <c r="C49" t="s" s="256">
        <v>181</v>
      </c>
      <c r="D49" t="s" s="257">
        <v>162</v>
      </c>
      <c r="E49" s="258">
        <v>75</v>
      </c>
      <c r="F49" t="s" s="266">
        <v>33</v>
      </c>
      <c r="G49" s="259"/>
      <c r="H49" s="261">
        <v>0</v>
      </c>
      <c r="I49" s="283">
        <v>150</v>
      </c>
      <c r="J49" s="283" cm="1">
        <f t="array" ref="J49">E49*W93</f>
        <v>0</v>
      </c>
      <c r="K49" s="287"/>
      <c r="L49" s="287"/>
      <c r="M49" s="287"/>
      <c r="N49" s="287"/>
      <c r="O49" s="266"/>
      <c r="P49" s="266"/>
    </row>
    <row r="50" ht="23.95" customHeight="1">
      <c r="B50" t="s" s="264">
        <v>48</v>
      </c>
      <c r="C50" t="s" s="256">
        <v>194</v>
      </c>
      <c r="D50" t="s" s="257">
        <v>162</v>
      </c>
      <c r="E50" s="258">
        <v>75</v>
      </c>
      <c r="F50" t="s" s="266">
        <v>33</v>
      </c>
      <c r="G50" s="259"/>
      <c r="H50" s="282">
        <v>375</v>
      </c>
      <c r="I50" s="283">
        <v>375</v>
      </c>
      <c r="J50" s="283" cm="1">
        <f t="array" ref="J50">E50*W94</f>
        <v>300</v>
      </c>
      <c r="K50" s="259"/>
      <c r="L50" s="259"/>
      <c r="M50" s="259"/>
      <c r="N50" s="259"/>
      <c r="O50" s="257"/>
      <c r="P50" s="257"/>
    </row>
    <row r="51" ht="23.95" customHeight="1">
      <c r="B51" t="s" s="264">
        <v>49</v>
      </c>
      <c r="C51" t="s" s="256">
        <v>194</v>
      </c>
      <c r="D51" t="s" s="257">
        <v>162</v>
      </c>
      <c r="E51" s="258">
        <v>75</v>
      </c>
      <c r="F51" t="s" s="266">
        <v>33</v>
      </c>
      <c r="G51" s="259"/>
      <c r="H51" s="282">
        <v>300</v>
      </c>
      <c r="I51" s="283">
        <v>375</v>
      </c>
      <c r="J51" s="283" cm="1">
        <f t="array" ref="J51">E51*W95</f>
        <v>300</v>
      </c>
      <c r="K51" s="259"/>
      <c r="L51" s="259"/>
      <c r="M51" s="259"/>
      <c r="N51" t="s" s="257">
        <v>15</v>
      </c>
      <c r="O51" t="s" s="257">
        <v>34</v>
      </c>
      <c r="P51" s="257"/>
    </row>
    <row r="52" ht="23.95" customHeight="1">
      <c r="B52" t="s" s="264">
        <v>50</v>
      </c>
      <c r="C52" t="s" s="256">
        <v>195</v>
      </c>
      <c r="D52" t="s" s="257">
        <v>162</v>
      </c>
      <c r="E52" s="258">
        <v>90</v>
      </c>
      <c r="F52" t="s" s="266">
        <v>33</v>
      </c>
      <c r="G52" s="258"/>
      <c r="H52" s="261">
        <v>0</v>
      </c>
      <c r="I52" s="283">
        <v>270</v>
      </c>
      <c r="J52" s="283">
        <v>1080</v>
      </c>
      <c r="K52" s="259"/>
      <c r="L52" s="259"/>
      <c r="M52" s="259"/>
      <c r="N52" t="s" s="257">
        <v>15</v>
      </c>
      <c r="O52" t="s" s="257">
        <v>34</v>
      </c>
      <c r="P52" s="257"/>
    </row>
    <row r="53" ht="23.95" customHeight="1">
      <c r="B53" t="s" s="264">
        <v>51</v>
      </c>
      <c r="C53" t="s" s="256">
        <v>195</v>
      </c>
      <c r="D53" t="s" s="257">
        <v>162</v>
      </c>
      <c r="E53" s="258">
        <v>75</v>
      </c>
      <c r="F53" t="s" s="266">
        <v>33</v>
      </c>
      <c r="G53" s="259"/>
      <c r="H53" s="261">
        <v>0</v>
      </c>
      <c r="I53" s="283">
        <v>0</v>
      </c>
      <c r="J53" s="283">
        <v>1080</v>
      </c>
      <c r="K53" s="259"/>
      <c r="L53" s="259"/>
      <c r="M53" s="259"/>
      <c r="N53" t="s" s="257">
        <v>15</v>
      </c>
      <c r="O53" t="s" s="257">
        <v>34</v>
      </c>
      <c r="P53" s="257"/>
    </row>
    <row r="54" ht="23.95" customHeight="1">
      <c r="B54" t="s" s="264">
        <v>52</v>
      </c>
      <c r="C54" t="s" s="256">
        <v>195</v>
      </c>
      <c r="D54" t="s" s="257">
        <v>162</v>
      </c>
      <c r="E54" s="258">
        <v>90</v>
      </c>
      <c r="F54" t="s" s="266">
        <v>33</v>
      </c>
      <c r="G54" s="259"/>
      <c r="H54" s="261">
        <v>0</v>
      </c>
      <c r="I54" s="283">
        <v>270</v>
      </c>
      <c r="J54" s="283">
        <v>0</v>
      </c>
      <c r="K54" s="259"/>
      <c r="L54" s="259"/>
      <c r="M54" s="259"/>
      <c r="N54" t="s" s="257">
        <v>15</v>
      </c>
      <c r="O54" t="s" s="257">
        <v>34</v>
      </c>
      <c r="P54" s="257"/>
    </row>
    <row r="55" ht="37.95" customHeight="1">
      <c r="B55" t="s" s="264">
        <v>115</v>
      </c>
      <c r="C55" t="s" s="256">
        <v>356</v>
      </c>
      <c r="D55" t="s" s="257">
        <v>196</v>
      </c>
      <c r="E55" s="258">
        <v>75</v>
      </c>
      <c r="F55" t="s" s="266">
        <v>33</v>
      </c>
      <c r="G55" t="s" s="257">
        <v>253</v>
      </c>
      <c r="H55" s="282">
        <v>300</v>
      </c>
      <c r="I55" s="283">
        <v>450</v>
      </c>
      <c r="J55" s="283">
        <v>600</v>
      </c>
      <c r="K55" s="259"/>
      <c r="L55" s="259"/>
      <c r="M55" s="259"/>
      <c r="N55" t="s" s="257">
        <v>15</v>
      </c>
      <c r="O55" t="s" s="257">
        <v>34</v>
      </c>
      <c r="P55" s="257"/>
    </row>
    <row r="56" ht="23.95" customHeight="1">
      <c r="B56" t="s" s="264">
        <v>197</v>
      </c>
      <c r="C56" t="s" s="256">
        <v>198</v>
      </c>
      <c r="D56" t="s" s="257">
        <v>162</v>
      </c>
      <c r="E56" s="258">
        <v>75</v>
      </c>
      <c r="F56" t="s" s="266">
        <v>33</v>
      </c>
      <c r="G56" s="259"/>
      <c r="H56" s="261">
        <v>0</v>
      </c>
      <c r="I56" s="283">
        <v>150</v>
      </c>
      <c r="J56" s="283" cm="1">
        <f t="array" ref="J56">E56*W100</f>
        <v>0</v>
      </c>
      <c r="K56" s="259"/>
      <c r="L56" s="259"/>
      <c r="M56" s="259"/>
      <c r="N56" s="259"/>
      <c r="O56" s="257"/>
      <c r="P56" s="257"/>
    </row>
    <row r="57" ht="23.95" customHeight="1">
      <c r="B57" t="s" s="264">
        <v>374</v>
      </c>
      <c r="C57" s="268"/>
      <c r="D57" t="s" s="257">
        <v>31</v>
      </c>
      <c r="E57" s="258">
        <v>250</v>
      </c>
      <c r="F57" t="s" s="266">
        <v>375</v>
      </c>
      <c r="G57" s="259"/>
      <c r="H57" s="261">
        <v>0</v>
      </c>
      <c r="I57" s="261">
        <v>0</v>
      </c>
      <c r="J57" s="283">
        <v>250</v>
      </c>
      <c r="K57" s="259"/>
      <c r="L57" s="259"/>
      <c r="M57" s="259"/>
      <c r="N57" s="259"/>
      <c r="O57" s="257"/>
      <c r="P57" s="257"/>
    </row>
    <row r="58" ht="23.95" customHeight="1">
      <c r="B58" t="s" s="264">
        <v>376</v>
      </c>
      <c r="C58" t="s" s="256">
        <v>377</v>
      </c>
      <c r="D58" t="s" s="257">
        <v>378</v>
      </c>
      <c r="E58" s="258">
        <v>150</v>
      </c>
      <c r="F58" t="s" s="266">
        <v>252</v>
      </c>
      <c r="G58" s="259"/>
      <c r="H58" s="261">
        <v>0</v>
      </c>
      <c r="I58" s="261">
        <v>0</v>
      </c>
      <c r="J58" s="283">
        <v>150</v>
      </c>
      <c r="K58" s="259"/>
      <c r="L58" s="259"/>
      <c r="M58" s="259"/>
      <c r="N58" s="259"/>
      <c r="O58" s="257"/>
      <c r="P58" s="257"/>
    </row>
    <row r="59" ht="23.95" customHeight="1">
      <c r="B59" t="s" s="264">
        <v>379</v>
      </c>
      <c r="C59" t="s" s="256">
        <v>380</v>
      </c>
      <c r="D59" t="s" s="257">
        <v>378</v>
      </c>
      <c r="E59" s="258">
        <v>150</v>
      </c>
      <c r="F59" t="s" s="266">
        <v>252</v>
      </c>
      <c r="G59" s="259"/>
      <c r="H59" s="261">
        <v>0</v>
      </c>
      <c r="I59" s="261">
        <v>0</v>
      </c>
      <c r="J59" s="283">
        <v>150</v>
      </c>
      <c r="K59" s="259"/>
      <c r="L59" s="259"/>
      <c r="M59" s="259"/>
      <c r="N59" s="259"/>
      <c r="O59" s="257"/>
      <c r="P59" s="257"/>
    </row>
    <row r="60" ht="23.95" customHeight="1">
      <c r="B60" t="s" s="264">
        <v>381</v>
      </c>
      <c r="C60" t="s" s="256">
        <v>369</v>
      </c>
      <c r="D60" t="s" s="257">
        <v>378</v>
      </c>
      <c r="E60" s="258">
        <v>250</v>
      </c>
      <c r="F60" t="s" s="266">
        <v>375</v>
      </c>
      <c r="G60" s="259"/>
      <c r="H60" s="261"/>
      <c r="I60" s="261"/>
      <c r="J60" s="283">
        <v>250</v>
      </c>
      <c r="K60" s="259"/>
      <c r="L60" s="259"/>
      <c r="M60" s="259"/>
      <c r="N60" s="259"/>
      <c r="O60" s="257"/>
      <c r="P60" s="257"/>
    </row>
    <row r="61" ht="23.95" customHeight="1">
      <c r="B61" t="s" s="264">
        <v>116</v>
      </c>
      <c r="C61" s="288"/>
      <c r="D61" s="27"/>
      <c r="E61" s="27"/>
      <c r="F61" s="27"/>
      <c r="G61" s="289"/>
      <c r="H61" s="282">
        <v>2975</v>
      </c>
      <c r="I61" s="282">
        <v>4440</v>
      </c>
      <c r="J61" s="282" cm="1">
        <f t="array" ref="J61">SUM(J45:J60)</f>
        <v>6310</v>
      </c>
      <c r="K61" s="259"/>
      <c r="L61" s="259"/>
      <c r="M61" s="259"/>
      <c r="N61" s="259"/>
      <c r="O61" s="257"/>
      <c r="P61" s="257"/>
    </row>
    <row r="62" ht="23.95" customHeight="1">
      <c r="B62" t="s" s="271">
        <v>186</v>
      </c>
      <c r="C62" s="290"/>
      <c r="D62" s="291"/>
      <c r="E62" s="291"/>
      <c r="F62" s="273"/>
      <c r="G62" s="273"/>
      <c r="H62" s="291"/>
      <c r="I62" s="291"/>
      <c r="J62" s="291"/>
      <c r="K62" s="284"/>
      <c r="L62" s="284"/>
      <c r="M62" s="284"/>
      <c r="N62" s="284"/>
      <c r="O62" s="274"/>
      <c r="P62" s="274"/>
    </row>
    <row r="63" ht="29.35" customHeight="1">
      <c r="B63" t="s" s="255">
        <v>27</v>
      </c>
      <c r="C63" t="s" s="292">
        <v>175</v>
      </c>
      <c r="D63" t="s" s="293">
        <v>162</v>
      </c>
      <c r="E63" s="262">
        <v>995</v>
      </c>
      <c r="F63" t="s" s="293">
        <v>11</v>
      </c>
      <c r="G63" t="s" s="293">
        <v>232</v>
      </c>
      <c r="H63" s="262">
        <v>995</v>
      </c>
      <c r="I63" s="262">
        <v>0</v>
      </c>
      <c r="J63" s="262">
        <v>0</v>
      </c>
      <c r="K63" t="s" s="257">
        <v>12</v>
      </c>
      <c r="L63" t="s" s="257">
        <v>12</v>
      </c>
      <c r="M63" t="s" s="257">
        <v>12</v>
      </c>
      <c r="N63" t="s" s="257">
        <v>14</v>
      </c>
      <c r="O63" t="s" s="257">
        <v>15</v>
      </c>
      <c r="P63" t="s" s="257">
        <v>13</v>
      </c>
    </row>
    <row r="64" ht="23.95" customHeight="1">
      <c r="B64" t="s" s="264">
        <v>47</v>
      </c>
      <c r="C64" t="s" s="292">
        <v>193</v>
      </c>
      <c r="D64" t="s" s="293">
        <v>162</v>
      </c>
      <c r="E64" s="262">
        <v>75</v>
      </c>
      <c r="F64" t="s" s="293">
        <v>33</v>
      </c>
      <c r="G64" s="294"/>
      <c r="H64" s="262">
        <v>0</v>
      </c>
      <c r="I64" s="262">
        <v>150</v>
      </c>
      <c r="J64" s="262"/>
      <c r="K64" s="287"/>
      <c r="L64" s="287"/>
      <c r="M64" s="287"/>
      <c r="N64" t="s" s="266">
        <v>15</v>
      </c>
      <c r="O64" t="s" s="266">
        <v>34</v>
      </c>
      <c r="P64" s="266"/>
    </row>
    <row r="65" ht="23.95" customHeight="1">
      <c r="B65" s="295"/>
      <c r="C65" s="296"/>
      <c r="D65" s="294"/>
      <c r="E65" s="262"/>
      <c r="F65" s="294"/>
      <c r="G65" s="294"/>
      <c r="H65" s="262"/>
      <c r="I65" s="262"/>
      <c r="J65" s="262"/>
      <c r="K65" s="259"/>
      <c r="L65" s="259"/>
      <c r="M65" s="259"/>
      <c r="N65" s="259"/>
      <c r="O65" s="257"/>
      <c r="P65" s="259"/>
    </row>
    <row r="66" ht="23.95" customHeight="1">
      <c r="B66" s="297"/>
      <c r="C66" s="268"/>
      <c r="D66" s="258">
        <v>0</v>
      </c>
      <c r="E66" s="258">
        <v>0</v>
      </c>
      <c r="F66" t="s" s="257">
        <v>11</v>
      </c>
      <c r="G66" s="259"/>
      <c r="H66" s="298"/>
      <c r="I66" s="298"/>
      <c r="J66" s="298"/>
      <c r="K66" s="259"/>
      <c r="L66" s="259"/>
      <c r="M66" s="259"/>
      <c r="N66" s="269"/>
      <c r="O66" s="257"/>
      <c r="P66" s="257"/>
    </row>
    <row r="68" ht="58.7" customHeight="1">
      <c r="Q68" t="s" s="300">
        <v>275</v>
      </c>
      <c r="R68" t="s" s="300">
        <v>276</v>
      </c>
      <c r="S68" t="s" s="300">
        <v>382</v>
      </c>
      <c r="T68" t="s" s="301">
        <v>25</v>
      </c>
      <c r="U68" t="s" s="300">
        <v>151</v>
      </c>
      <c r="V68" t="s" s="300">
        <v>230</v>
      </c>
      <c r="W68" t="s" s="300">
        <v>346</v>
      </c>
      <c r="X68" t="s" s="300">
        <v>160</v>
      </c>
      <c r="Y68" t="s" s="300">
        <v>277</v>
      </c>
      <c r="Z68" t="s" s="300">
        <v>278</v>
      </c>
    </row>
    <row r="69" ht="37.5" customHeight="1">
      <c r="Q69" s="302">
        <v>1</v>
      </c>
      <c r="R69" t="s" s="303">
        <v>279</v>
      </c>
      <c r="S69" t="s" s="303">
        <v>383</v>
      </c>
      <c r="T69" t="s" s="304">
        <v>27</v>
      </c>
      <c r="U69" t="s" s="305">
        <v>25</v>
      </c>
      <c r="V69" s="306">
        <v>5</v>
      </c>
      <c r="W69" s="306" cm="1">
        <f t="array" ref="W69">AH126+BC232+BX338+CS444+DN549</f>
        <v>5</v>
      </c>
      <c r="X69" s="306" cm="1">
        <f t="array" ref="X69">AJ126+BE232+BZ338+CU444</f>
        <v>0</v>
      </c>
      <c r="Y69" s="307"/>
      <c r="Z69" s="308" cm="1">
        <f t="array" ref="Z69">Y69/995</f>
        <v>0</v>
      </c>
    </row>
    <row r="70" ht="37.5" customHeight="1">
      <c r="Q70" s="309">
        <v>2</v>
      </c>
      <c r="R70" t="s" s="310">
        <v>280</v>
      </c>
      <c r="S70" t="s" s="310">
        <v>383</v>
      </c>
      <c r="T70" t="s" s="311">
        <v>35</v>
      </c>
      <c r="U70" t="s" s="312">
        <v>25</v>
      </c>
      <c r="V70" s="313">
        <v>1</v>
      </c>
      <c r="W70" s="314" cm="1">
        <f t="array" ref="W70">AH123+BC229+BX335+CS441+DN546</f>
        <v>7</v>
      </c>
      <c r="X70" s="315" cm="1">
        <f t="array" ref="X70">AJ123+BE229+BZ335+CU441+DP546</f>
        <v>0</v>
      </c>
      <c r="Y70" s="316">
        <v>171.82</v>
      </c>
      <c r="Z70" s="317"/>
    </row>
    <row r="71" ht="36.65" customHeight="1">
      <c r="Q71" s="318">
        <v>3</v>
      </c>
      <c r="R71" t="s" s="319">
        <v>281</v>
      </c>
      <c r="S71" t="s" s="319">
        <v>384</v>
      </c>
      <c r="T71" t="s" s="320">
        <v>47</v>
      </c>
      <c r="U71" t="s" s="321">
        <v>25</v>
      </c>
      <c r="V71" s="313">
        <v>15</v>
      </c>
      <c r="W71" s="314" cm="1">
        <f t="array" ref="W71">AH124+BC230+BX336+CS442+DN547</f>
        <v>11</v>
      </c>
      <c r="X71" s="315" cm="1">
        <f t="array" ref="X71">AJ124+BE230+BZ336+CU442+DP547</f>
        <v>0</v>
      </c>
      <c r="Y71" s="316" cm="1">
        <f t="array" ref="Y71">450/W71</f>
        <v>40.9090909090909</v>
      </c>
      <c r="Z71" s="317"/>
    </row>
    <row r="72" ht="37.5" customHeight="1">
      <c r="Q72" s="309">
        <v>4</v>
      </c>
      <c r="R72" t="s" s="310">
        <v>282</v>
      </c>
      <c r="S72" t="s" s="310">
        <v>385</v>
      </c>
      <c r="T72" t="s" s="311">
        <v>10</v>
      </c>
      <c r="U72" t="s" s="321">
        <v>25</v>
      </c>
      <c r="V72" s="313">
        <v>17</v>
      </c>
      <c r="W72" s="314" cm="1">
        <f t="array" ref="W72">AH125+BC231+BX337+CS443+DN548</f>
        <v>17</v>
      </c>
      <c r="X72" s="315" cm="1">
        <f t="array" ref="X72">AJ125+BE231+BZ337+CU443+DP548</f>
        <v>0</v>
      </c>
      <c r="Y72" s="316">
        <v>171.82</v>
      </c>
      <c r="Z72" s="322"/>
    </row>
    <row r="73" ht="37.5" customHeight="1">
      <c r="Q73" s="318">
        <v>5</v>
      </c>
      <c r="R73" t="s" s="319">
        <v>283</v>
      </c>
      <c r="S73" t="s" s="319">
        <v>386</v>
      </c>
      <c r="T73" t="s" s="320">
        <v>32</v>
      </c>
      <c r="U73" t="s" s="321">
        <v>25</v>
      </c>
      <c r="V73" s="313">
        <v>7</v>
      </c>
      <c r="W73" s="314" cm="1">
        <f t="array" ref="W73">AH126+BC232+BX338+CS444+DN549</f>
        <v>5</v>
      </c>
      <c r="X73" s="315" cm="1">
        <f t="array" ref="X73">AJ126+BE232+BZ338+CU444+DP549</f>
        <v>0</v>
      </c>
      <c r="Y73" s="316"/>
      <c r="Z73" s="317"/>
    </row>
    <row r="74" ht="37.85" customHeight="1">
      <c r="Q74" s="318">
        <v>6</v>
      </c>
      <c r="R74" t="s" s="319">
        <v>284</v>
      </c>
      <c r="S74" t="s" s="319">
        <v>387</v>
      </c>
      <c r="T74" t="s" s="320">
        <v>16</v>
      </c>
      <c r="U74" t="s" s="321">
        <v>25</v>
      </c>
      <c r="V74" s="313">
        <v>17</v>
      </c>
      <c r="W74" s="314" cm="1">
        <f t="array" ref="W74">AH127+BC233+BX339+CS445+DN550</f>
        <v>12</v>
      </c>
      <c r="X74" s="315" cm="1">
        <f t="array" ref="X74">AJ127+BE233+BZ339+CU445+DP550</f>
        <v>0</v>
      </c>
      <c r="Y74" s="316" cm="1">
        <f t="array" ref="Y74">750/W74</f>
        <v>62.5</v>
      </c>
      <c r="Z74" s="317"/>
    </row>
    <row r="75" ht="37.5" customHeight="1">
      <c r="Q75" s="318">
        <v>7</v>
      </c>
      <c r="R75" t="s" s="319">
        <v>285</v>
      </c>
      <c r="S75" s="319"/>
      <c r="T75" t="s" s="320">
        <v>18</v>
      </c>
      <c r="U75" t="s" s="321">
        <v>25</v>
      </c>
      <c r="V75" s="313">
        <v>0</v>
      </c>
      <c r="W75" s="314" cm="1">
        <f t="array" ref="W75">AH128+BC234+BX340+CS446+DN551</f>
        <v>0</v>
      </c>
      <c r="X75" s="315" cm="1">
        <f t="array" ref="X75">AJ128+BE234+BZ340+CU446+DP551</f>
        <v>0</v>
      </c>
      <c r="Y75" s="316"/>
      <c r="Z75" s="317"/>
    </row>
    <row r="76" ht="37.5" customHeight="1">
      <c r="Q76" s="318">
        <v>8</v>
      </c>
      <c r="R76" t="s" s="319">
        <v>286</v>
      </c>
      <c r="S76" s="319"/>
      <c r="T76" t="s" s="320">
        <v>287</v>
      </c>
      <c r="U76" t="s" s="321">
        <v>25</v>
      </c>
      <c r="V76" s="313">
        <v>2</v>
      </c>
      <c r="W76" s="314" cm="1">
        <f t="array" ref="W76">AH129+BC235+BX341+CS447+DN552</f>
        <v>0</v>
      </c>
      <c r="X76" s="315" cm="1">
        <f t="array" ref="X76">AJ129+BE235+BZ341+CU447+DP552</f>
        <v>0</v>
      </c>
      <c r="Y76" s="316"/>
      <c r="Z76" s="317"/>
    </row>
    <row r="77" ht="26.8" customHeight="1">
      <c r="Q77" s="318">
        <v>9</v>
      </c>
      <c r="R77" t="s" s="319">
        <v>288</v>
      </c>
      <c r="S77" s="319"/>
      <c r="T77" t="s" s="320">
        <v>45</v>
      </c>
      <c r="U77" t="s" s="321">
        <v>25</v>
      </c>
      <c r="V77" s="313">
        <v>15</v>
      </c>
      <c r="W77" s="314" cm="1">
        <f t="array" ref="W77">AH130+BC236+BX342+CS448+DN553</f>
        <v>14</v>
      </c>
      <c r="X77" s="315" cm="1">
        <f t="array" ref="X77">AJ130+BE236+BZ342+CU448+DP553</f>
        <v>0</v>
      </c>
      <c r="Y77" s="316">
        <v>75</v>
      </c>
      <c r="Z77" s="317"/>
    </row>
    <row r="78" ht="39.05" customHeight="1">
      <c r="Q78" s="318">
        <v>10</v>
      </c>
      <c r="R78" t="s" s="319">
        <v>289</v>
      </c>
      <c r="S78" t="s" s="319">
        <v>388</v>
      </c>
      <c r="T78" t="s" s="320">
        <v>154</v>
      </c>
      <c r="U78" t="s" s="321">
        <v>25</v>
      </c>
      <c r="V78" s="313">
        <v>9</v>
      </c>
      <c r="W78" s="314" cm="1">
        <f t="array" ref="W78">AH131+BC237+BX343+CS449+DN554</f>
        <v>6</v>
      </c>
      <c r="X78" s="315" cm="1">
        <f t="array" ref="X78">AJ131+BE237+BZ343+CU449+DP554</f>
        <v>0</v>
      </c>
      <c r="Y78" s="316" cm="1">
        <f t="array" ref="Y78">E8/W78</f>
        <v>165.833333333333</v>
      </c>
      <c r="Z78" s="317"/>
    </row>
    <row r="79" ht="37.5" customHeight="1">
      <c r="Q79" s="318">
        <v>11</v>
      </c>
      <c r="R79" t="s" s="319">
        <v>290</v>
      </c>
      <c r="S79" t="s" s="319">
        <v>389</v>
      </c>
      <c r="T79" t="s" s="320">
        <v>257</v>
      </c>
      <c r="U79" t="s" s="321">
        <v>25</v>
      </c>
      <c r="V79" s="313">
        <v>10</v>
      </c>
      <c r="W79" s="314" cm="1">
        <f t="array" ref="W79">AH132+BC238+BX344+CS450+DN555</f>
        <v>15</v>
      </c>
      <c r="X79" s="315" cm="1">
        <f t="array" ref="X79">AJ132+BE238+BZ344+CU450+DP555</f>
        <v>0</v>
      </c>
      <c r="Y79" s="323" cm="1">
        <f t="array" ref="Y79">600/W79</f>
        <v>40</v>
      </c>
      <c r="Z79" s="322"/>
    </row>
    <row r="80" ht="26.8" customHeight="1">
      <c r="Q80" s="318">
        <v>12</v>
      </c>
      <c r="R80" t="s" s="319">
        <v>291</v>
      </c>
      <c r="S80" t="s" s="319">
        <v>390</v>
      </c>
      <c r="T80" t="s" s="320">
        <v>391</v>
      </c>
      <c r="U80" t="s" s="321">
        <v>25</v>
      </c>
      <c r="V80" s="313">
        <v>11</v>
      </c>
      <c r="W80" s="314" cm="1">
        <f t="array" ref="W80">AH133+BC239+BX345+CS451+DN556</f>
        <v>10</v>
      </c>
      <c r="X80" s="315" cm="1">
        <f t="array" ref="X80">AJ133+BE239+BZ345+CU451+DP556</f>
        <v>0</v>
      </c>
      <c r="Y80" s="316" cm="1">
        <f t="array" ref="Y80">E17/W80</f>
        <v>60</v>
      </c>
      <c r="Z80" s="317"/>
    </row>
    <row r="81" ht="26.8" customHeight="1">
      <c r="Q81" s="318">
        <v>13</v>
      </c>
      <c r="R81" t="s" s="319">
        <v>293</v>
      </c>
      <c r="S81" t="s" s="319">
        <v>392</v>
      </c>
      <c r="T81" t="s" s="320">
        <v>393</v>
      </c>
      <c r="U81" t="s" s="321">
        <v>25</v>
      </c>
      <c r="V81" s="313">
        <v>3</v>
      </c>
      <c r="W81" s="314" cm="1">
        <f t="array" ref="W81">AH134+BC240+BX346+CS452+DN557</f>
        <v>0</v>
      </c>
      <c r="X81" s="315" cm="1">
        <f t="array" ref="X81">AJ134+BE240+BZ346+CU452+DP557</f>
        <v>0</v>
      </c>
      <c r="Y81" s="316" cm="1">
        <f t="array" ref="Y81">600/W81</f>
      </c>
      <c r="Z81" s="317"/>
    </row>
    <row r="82" ht="26.8" customHeight="1">
      <c r="Q82" s="318">
        <v>14</v>
      </c>
      <c r="R82" t="s" s="319">
        <v>294</v>
      </c>
      <c r="S82" t="s" s="319">
        <v>394</v>
      </c>
      <c r="T82" t="s" s="320">
        <v>395</v>
      </c>
      <c r="U82" t="s" s="321">
        <v>25</v>
      </c>
      <c r="V82" s="313">
        <v>6</v>
      </c>
      <c r="W82" s="314" cm="1">
        <f t="array" ref="W82">AH135+BC241+BX347+CS453+DN558</f>
        <v>0</v>
      </c>
      <c r="X82" s="315" cm="1">
        <f t="array" ref="X82">AJ135+BE241+BZ347+CU453+DP558</f>
        <v>0</v>
      </c>
      <c r="Y82" s="316" cm="1">
        <f t="array" ref="Y82">600/W82</f>
      </c>
      <c r="Z82" s="317"/>
    </row>
    <row r="83" ht="37.5" customHeight="1">
      <c r="Q83" s="318">
        <v>15</v>
      </c>
      <c r="R83" t="s" s="319">
        <v>295</v>
      </c>
      <c r="S83" t="s" s="319">
        <v>396</v>
      </c>
      <c r="T83" t="s" s="320">
        <v>155</v>
      </c>
      <c r="U83" t="s" s="321">
        <v>25</v>
      </c>
      <c r="V83" s="313">
        <v>13</v>
      </c>
      <c r="W83" s="314" cm="1">
        <f t="array" ref="W83">AH136+BC242+BX348+CS454+DN559</f>
        <v>9</v>
      </c>
      <c r="X83" s="315" cm="1">
        <f t="array" ref="X83">AJ136+BE242+BZ348+CU454+DP559</f>
        <v>0</v>
      </c>
      <c r="Y83" s="316" cm="1">
        <f t="array" ref="Y83">583/W83</f>
        <v>64.7777777777778</v>
      </c>
      <c r="Z83" s="317"/>
    </row>
    <row r="84" ht="37.5" customHeight="1">
      <c r="Q84" s="309">
        <v>16</v>
      </c>
      <c r="R84" t="s" s="310">
        <v>296</v>
      </c>
      <c r="S84" t="s" s="310">
        <v>397</v>
      </c>
      <c r="T84" t="s" s="311">
        <v>37</v>
      </c>
      <c r="U84" t="s" s="321">
        <v>25</v>
      </c>
      <c r="V84" s="313">
        <v>6</v>
      </c>
      <c r="W84" s="314" cm="1">
        <f t="array" ref="W84">AH137+BC243+BX349+CS455+DN560</f>
        <v>13</v>
      </c>
      <c r="X84" s="315" cm="1">
        <f t="array" ref="X84">AJ137+BE243+BZ349+CU455+DP560</f>
        <v>0</v>
      </c>
      <c r="Y84" s="323">
        <v>171.82</v>
      </c>
      <c r="Z84" s="322"/>
    </row>
    <row r="85" ht="37.5" customHeight="1">
      <c r="Q85" s="318">
        <v>17</v>
      </c>
      <c r="R85" t="s" s="319">
        <v>297</v>
      </c>
      <c r="S85" t="s" s="319">
        <v>398</v>
      </c>
      <c r="T85" t="s" s="320">
        <v>19</v>
      </c>
      <c r="U85" t="s" s="321">
        <v>25</v>
      </c>
      <c r="V85" s="313">
        <v>2</v>
      </c>
      <c r="W85" s="314" cm="1">
        <f t="array" ref="W85">AH138+BC244+BX350+CS456+DN561</f>
        <v>0</v>
      </c>
      <c r="X85" s="315" cm="1">
        <f t="array" ref="X85">AJ138+BE244+BZ350+CU456+DP561</f>
        <v>0</v>
      </c>
      <c r="Y85" s="316" cm="1">
        <f t="array" ref="Y85">I10/W85</f>
      </c>
      <c r="Z85" s="317"/>
    </row>
    <row r="86" ht="37.5" customHeight="1">
      <c r="Q86" s="318">
        <v>18</v>
      </c>
      <c r="R86" t="s" s="319">
        <v>298</v>
      </c>
      <c r="S86" t="s" s="319">
        <v>399</v>
      </c>
      <c r="T86" t="s" s="320">
        <v>239</v>
      </c>
      <c r="U86" t="s" s="321">
        <v>25</v>
      </c>
      <c r="V86" s="313">
        <v>2</v>
      </c>
      <c r="W86" s="314" cm="1">
        <f t="array" ref="W86">AH139+BC245+BX351+CS457+DN562</f>
        <v>0</v>
      </c>
      <c r="X86" s="315" cm="1">
        <f t="array" ref="X86">AJ139+BE245+BZ351+CU457+DP562</f>
        <v>0</v>
      </c>
      <c r="Y86" s="316" cm="1">
        <f t="array" ref="Y86">E11/W86</f>
      </c>
      <c r="Z86" s="317"/>
    </row>
    <row r="87" ht="37.5" customHeight="1">
      <c r="Q87" s="318">
        <v>19</v>
      </c>
      <c r="R87" t="s" s="319">
        <v>299</v>
      </c>
      <c r="S87" t="s" s="319">
        <v>400</v>
      </c>
      <c r="T87" t="s" s="320">
        <v>262</v>
      </c>
      <c r="U87" t="s" s="321">
        <v>25</v>
      </c>
      <c r="V87" s="313">
        <v>8</v>
      </c>
      <c r="W87" s="314" cm="1">
        <f t="array" ref="W87">AH140+BC246+BX352+CS458+DN563</f>
        <v>12</v>
      </c>
      <c r="X87" s="315" cm="1">
        <f t="array" ref="X87">AJ140+BE246+BZ352+CU458+DP563</f>
        <v>0</v>
      </c>
      <c r="Y87" s="323" cm="1">
        <f t="array" ref="Y87">600/W87</f>
        <v>50</v>
      </c>
      <c r="Z87" s="322"/>
    </row>
    <row r="88" ht="37.5" customHeight="1">
      <c r="Q88" s="318">
        <v>20</v>
      </c>
      <c r="R88" t="s" s="319">
        <v>300</v>
      </c>
      <c r="S88" t="s" s="319">
        <v>401</v>
      </c>
      <c r="T88" t="s" s="320">
        <v>265</v>
      </c>
      <c r="U88" t="s" s="321">
        <v>25</v>
      </c>
      <c r="V88" s="313">
        <v>8</v>
      </c>
      <c r="W88" s="314" cm="1">
        <f t="array" ref="W88">AH141+BC247+BX353+CS459+DN564</f>
        <v>16</v>
      </c>
      <c r="X88" s="315" cm="1">
        <f t="array" ref="X88">AJ141+BE247+BZ353+CU459+DP564</f>
        <v>2</v>
      </c>
      <c r="Y88" s="316" cm="1">
        <f t="array" ref="Y88">I21/W88</f>
        <v>62.1875</v>
      </c>
      <c r="Z88" s="317"/>
    </row>
    <row r="89" ht="37.5" customHeight="1">
      <c r="Q89" s="318">
        <v>21</v>
      </c>
      <c r="R89" t="s" s="319">
        <v>301</v>
      </c>
      <c r="S89" t="s" s="319">
        <v>402</v>
      </c>
      <c r="T89" t="s" s="320">
        <v>250</v>
      </c>
      <c r="U89" t="s" s="321">
        <v>25</v>
      </c>
      <c r="V89" s="313">
        <v>8</v>
      </c>
      <c r="W89" s="314" cm="1">
        <f t="array" ref="W89">AH142+BC248+BX354+CS460+DN565</f>
        <v>17</v>
      </c>
      <c r="X89" s="315" cm="1">
        <f t="array" ref="X89">AJ142+BE248+BZ354+CU460+DP565</f>
        <v>0</v>
      </c>
      <c r="Y89" s="323" cm="1">
        <f t="array" ref="Y89">600/W89</f>
        <v>35.2941176470588</v>
      </c>
      <c r="Z89" s="322"/>
    </row>
    <row r="90" ht="31.25" customHeight="1">
      <c r="Q90" s="318">
        <v>22</v>
      </c>
      <c r="R90" t="s" s="319">
        <v>302</v>
      </c>
      <c r="S90" t="s" s="319">
        <v>403</v>
      </c>
      <c r="T90" t="s" s="320">
        <v>268</v>
      </c>
      <c r="U90" t="s" s="321">
        <v>25</v>
      </c>
      <c r="V90" s="313">
        <v>3</v>
      </c>
      <c r="W90" s="314" cm="1">
        <f t="array" ref="W90">AH143+BC249+BX355+CS461+DN566</f>
        <v>0</v>
      </c>
      <c r="X90" s="315" cm="1">
        <f t="array" ref="X90">AJ143+BE249+BZ355+CU461+DP566</f>
        <v>0</v>
      </c>
      <c r="Y90" s="316" cm="1">
        <f t="array" ref="Y90">I22/W90</f>
      </c>
      <c r="Z90" s="317"/>
    </row>
    <row r="91" ht="26.8" customHeight="1">
      <c r="Q91" s="318">
        <v>23</v>
      </c>
      <c r="R91" t="s" s="319">
        <v>303</v>
      </c>
      <c r="S91" t="s" s="319">
        <v>404</v>
      </c>
      <c r="T91" t="s" s="320">
        <v>156</v>
      </c>
      <c r="U91" t="s" s="321">
        <v>25</v>
      </c>
      <c r="V91" s="313">
        <v>14</v>
      </c>
      <c r="W91" s="314" cm="1">
        <f t="array" ref="W91">AH144+BC250+BX356+CS462+DN567</f>
        <v>11</v>
      </c>
      <c r="X91" s="315" cm="1">
        <f t="array" ref="X91">AJ144+BE250+BZ356+CU462+DP567</f>
        <v>0</v>
      </c>
      <c r="Y91" s="323">
        <v>0</v>
      </c>
      <c r="Z91" s="322"/>
    </row>
    <row r="92" ht="37.5" customHeight="1">
      <c r="Q92" s="318">
        <v>24</v>
      </c>
      <c r="R92" t="s" s="319">
        <v>304</v>
      </c>
      <c r="S92" s="319"/>
      <c r="T92" t="s" s="320">
        <v>259</v>
      </c>
      <c r="U92" t="s" s="321">
        <v>25</v>
      </c>
      <c r="V92" s="313">
        <v>3</v>
      </c>
      <c r="W92" s="314" cm="1">
        <f t="array" ref="W92">AH145+BC251+BX357+CS463+DN568</f>
        <v>0</v>
      </c>
      <c r="X92" s="315" cm="1">
        <f t="array" ref="X92">AJ145+BE251+BZ357+CU463+DP568</f>
        <v>0</v>
      </c>
      <c r="Y92" s="316" cm="1">
        <f t="array" ref="Y92">I19/W92</f>
      </c>
      <c r="Z92" s="317"/>
    </row>
    <row r="93" ht="37.5" customHeight="1">
      <c r="Q93" s="318">
        <v>25</v>
      </c>
      <c r="R93" t="s" s="319">
        <v>305</v>
      </c>
      <c r="S93" s="319"/>
      <c r="T93" t="s" s="320">
        <v>274</v>
      </c>
      <c r="U93" t="s" s="321">
        <v>25</v>
      </c>
      <c r="V93" s="313">
        <v>2</v>
      </c>
      <c r="W93" s="314" cm="1">
        <f t="array" ref="W93">AH146+BC252+BX358+CS464+DN569</f>
        <v>0</v>
      </c>
      <c r="X93" s="315" cm="1">
        <f t="array" ref="X93">AJ146+BE252+BZ358+CU464+DP569</f>
        <v>0</v>
      </c>
      <c r="Y93" s="316">
        <v>75</v>
      </c>
      <c r="Z93" s="317"/>
    </row>
    <row r="94" ht="37.5" customHeight="1">
      <c r="Q94" s="318">
        <v>26</v>
      </c>
      <c r="R94" t="s" s="319">
        <v>306</v>
      </c>
      <c r="S94" s="319"/>
      <c r="T94" t="s" s="320">
        <v>48</v>
      </c>
      <c r="U94" t="s" s="321">
        <v>25</v>
      </c>
      <c r="V94" s="313">
        <v>5</v>
      </c>
      <c r="W94" s="314" cm="1">
        <f t="array" ref="W94">AH147+BC253+BX359+CS465+DN570</f>
        <v>4</v>
      </c>
      <c r="X94" s="315" cm="1">
        <f t="array" ref="X94">AJ147+BE253+BZ359+CU465+DP570</f>
        <v>0</v>
      </c>
      <c r="Y94" s="316">
        <v>75</v>
      </c>
      <c r="Z94" s="317"/>
    </row>
    <row r="95" ht="37.5" customHeight="1">
      <c r="Q95" s="318">
        <v>27</v>
      </c>
      <c r="R95" t="s" s="319">
        <v>307</v>
      </c>
      <c r="S95" s="319"/>
      <c r="T95" t="s" s="320">
        <v>49</v>
      </c>
      <c r="U95" t="s" s="321">
        <v>25</v>
      </c>
      <c r="V95" s="313">
        <v>5</v>
      </c>
      <c r="W95" s="314" cm="1">
        <f t="array" ref="W95">AH148+BC254+BX360+CS466+DN571</f>
        <v>4</v>
      </c>
      <c r="X95" s="315" cm="1">
        <f t="array" ref="X95">AJ148+BE254+BZ360+CU466+DP571</f>
        <v>0</v>
      </c>
      <c r="Y95" s="316">
        <v>75</v>
      </c>
      <c r="Z95" s="317"/>
    </row>
    <row r="96" ht="37.5" customHeight="1">
      <c r="Q96" s="318">
        <v>28</v>
      </c>
      <c r="R96" t="s" s="319">
        <v>308</v>
      </c>
      <c r="S96" s="319"/>
      <c r="T96" t="s" s="320">
        <v>50</v>
      </c>
      <c r="U96" t="s" s="321">
        <v>25</v>
      </c>
      <c r="V96" s="313">
        <v>4</v>
      </c>
      <c r="W96" s="314" cm="1">
        <f t="array" ref="W96">AH149+BC255+BX361+CS467+DN572</f>
        <v>5</v>
      </c>
      <c r="X96" s="315" cm="1">
        <f t="array" ref="X96">AJ149+BE255+BZ361+CU467+DP572</f>
        <v>0</v>
      </c>
      <c r="Y96" s="316">
        <v>75</v>
      </c>
      <c r="Z96" s="317"/>
    </row>
    <row r="97" ht="37.5" customHeight="1">
      <c r="Q97" s="318">
        <v>29</v>
      </c>
      <c r="R97" t="s" s="319">
        <v>309</v>
      </c>
      <c r="S97" s="319"/>
      <c r="T97" t="s" s="320">
        <v>51</v>
      </c>
      <c r="U97" t="s" s="321">
        <v>25</v>
      </c>
      <c r="V97" s="313">
        <v>0</v>
      </c>
      <c r="W97" s="314" cm="1">
        <f t="array" ref="W97">AH150+BC256+BX362+CS468+DN573</f>
        <v>1</v>
      </c>
      <c r="X97" s="315" cm="1">
        <f t="array" ref="X97">AJ150+BE256+BZ362+CU468+DP573</f>
        <v>0</v>
      </c>
      <c r="Y97" s="316">
        <v>75</v>
      </c>
      <c r="Z97" s="317"/>
    </row>
    <row r="98" ht="37.5" customHeight="1">
      <c r="Q98" s="318">
        <v>30</v>
      </c>
      <c r="R98" t="s" s="319">
        <v>310</v>
      </c>
      <c r="S98" s="319"/>
      <c r="T98" t="s" s="320">
        <v>52</v>
      </c>
      <c r="U98" t="s" s="321">
        <v>25</v>
      </c>
      <c r="V98" s="313">
        <v>3</v>
      </c>
      <c r="W98" s="314" cm="1">
        <f t="array" ref="W98">AH151+BC257+BX363+CS469+DN574</f>
        <v>3</v>
      </c>
      <c r="X98" s="315" cm="1">
        <f t="array" ref="X98">AJ151+BE257+BZ363+CU469+DP574</f>
        <v>0</v>
      </c>
      <c r="Y98" s="316">
        <v>75</v>
      </c>
      <c r="Z98" s="317"/>
    </row>
    <row r="99" ht="37.5" customHeight="1">
      <c r="Q99" s="318">
        <v>31</v>
      </c>
      <c r="R99" t="s" s="319">
        <v>311</v>
      </c>
      <c r="S99" s="319"/>
      <c r="T99" t="s" s="320">
        <v>115</v>
      </c>
      <c r="U99" t="s" s="321">
        <v>25</v>
      </c>
      <c r="V99" s="313">
        <v>6</v>
      </c>
      <c r="W99" s="314" cm="1">
        <f t="array" ref="W99">AH152+BC258+BX364+CS470+DN575</f>
        <v>3</v>
      </c>
      <c r="X99" s="315" cm="1">
        <f t="array" ref="X99">AJ152+BE258+BZ364+CU470+DP575</f>
        <v>0</v>
      </c>
      <c r="Y99" s="316">
        <v>75</v>
      </c>
      <c r="Z99" s="317"/>
    </row>
    <row r="100" ht="37.5" customHeight="1">
      <c r="Q100" s="318">
        <v>32</v>
      </c>
      <c r="R100" t="s" s="319">
        <v>312</v>
      </c>
      <c r="S100" s="319"/>
      <c r="T100" t="s" s="320">
        <v>197</v>
      </c>
      <c r="U100" t="s" s="321">
        <v>25</v>
      </c>
      <c r="V100" s="313">
        <v>2</v>
      </c>
      <c r="W100" s="314" cm="1">
        <f t="array" ref="W100">AH153+BC259+BX365+CS471+DN576</f>
        <v>0</v>
      </c>
      <c r="X100" s="315" cm="1">
        <f t="array" ref="X100">AJ153+BE259+BZ365+CU471+DP576</f>
        <v>0</v>
      </c>
      <c r="Y100" s="316">
        <v>75</v>
      </c>
      <c r="Z100" s="317"/>
    </row>
    <row r="101" ht="37.5" customHeight="1">
      <c r="Q101" s="318">
        <v>33</v>
      </c>
      <c r="R101" t="s" s="319">
        <v>313</v>
      </c>
      <c r="S101" s="319"/>
      <c r="T101" t="s" s="320">
        <v>46</v>
      </c>
      <c r="U101" t="s" s="321">
        <v>25</v>
      </c>
      <c r="V101" s="313">
        <v>16</v>
      </c>
      <c r="W101" s="314" cm="1">
        <f t="array" ref="W101">AH154+BC260+BX366+CS472+DN577</f>
        <v>3</v>
      </c>
      <c r="X101" s="315" cm="1">
        <f t="array" ref="X101">AJ154+BE260+BZ366+CU472+DP577</f>
        <v>0</v>
      </c>
      <c r="Y101" s="316">
        <v>75</v>
      </c>
      <c r="Z101" s="317"/>
    </row>
    <row r="102" ht="37.5" customHeight="1">
      <c r="Q102" s="318">
        <v>34</v>
      </c>
      <c r="R102" t="s" s="319">
        <v>314</v>
      </c>
      <c r="S102" s="319"/>
      <c r="T102" t="s" s="320">
        <v>191</v>
      </c>
      <c r="U102" t="s" s="321">
        <v>25</v>
      </c>
      <c r="V102" s="313">
        <v>11</v>
      </c>
      <c r="W102" s="314" cm="1">
        <f t="array" ref="W102">AH155+BC261+BX367+CS473+DN578</f>
        <v>10</v>
      </c>
      <c r="X102" s="315" cm="1">
        <f t="array" ref="X102">AJ155+BE261+BZ367+CU473+DP578</f>
        <v>0</v>
      </c>
      <c r="Y102" s="316">
        <v>75</v>
      </c>
      <c r="Z102" s="317"/>
    </row>
    <row r="103" ht="31.25" customHeight="1">
      <c r="Q103" s="318">
        <v>35</v>
      </c>
      <c r="R103" t="s" s="319">
        <v>315</v>
      </c>
      <c r="S103" t="s" s="319">
        <v>405</v>
      </c>
      <c r="T103" t="s" s="320">
        <v>109</v>
      </c>
      <c r="U103" t="s" s="321">
        <v>25</v>
      </c>
      <c r="V103" s="313">
        <v>6</v>
      </c>
      <c r="W103" s="314" cm="1">
        <f t="array" ref="W103">AH156+BC262+BX368+CS474+DN579</f>
        <v>7</v>
      </c>
      <c r="X103" s="315" cm="1">
        <f t="array" ref="X103">AJ156+BE262+BZ368+CU474+DP579</f>
        <v>0</v>
      </c>
      <c r="Y103" s="323"/>
      <c r="Z103" s="322"/>
    </row>
    <row r="104" ht="31.25" customHeight="1">
      <c r="Q104" s="318">
        <v>36</v>
      </c>
      <c r="R104" t="s" s="319">
        <v>316</v>
      </c>
      <c r="S104" t="s" s="324">
        <v>406</v>
      </c>
      <c r="T104" t="s" s="320">
        <v>270</v>
      </c>
      <c r="U104" t="s" s="321">
        <v>25</v>
      </c>
      <c r="V104" s="313">
        <v>3</v>
      </c>
      <c r="W104" s="314" cm="1">
        <f t="array" ref="W104">AH157+BC263+BX369+CS475+DN580</f>
        <v>1</v>
      </c>
      <c r="X104" s="315" cm="1">
        <f t="array" ref="X104">AJ157+BE263+BZ369+CU475+DP580</f>
        <v>0</v>
      </c>
      <c r="Y104" s="316" cm="1">
        <f t="array" ref="Y104">600/W104</f>
        <v>600</v>
      </c>
      <c r="Z104" s="317"/>
    </row>
    <row r="105" ht="31.25" customHeight="1">
      <c r="Q105" s="318">
        <v>37</v>
      </c>
      <c r="R105" t="s" s="319">
        <v>317</v>
      </c>
      <c r="S105" t="s" s="324">
        <v>407</v>
      </c>
      <c r="T105" t="s" s="320">
        <v>272</v>
      </c>
      <c r="U105" t="s" s="321">
        <v>25</v>
      </c>
      <c r="V105" s="313">
        <v>0</v>
      </c>
      <c r="W105" s="314" cm="1">
        <f t="array" ref="W105">AH158+BC264+BX370+CS476+DN581</f>
        <v>3</v>
      </c>
      <c r="X105" s="315" cm="1">
        <f t="array" ref="X105">AJ160+BE266+BZ372+CU478+DP583</f>
        <v>0</v>
      </c>
      <c r="Y105" s="316" cm="1">
        <f t="array" ref="Y105">600/W105</f>
        <v>200</v>
      </c>
      <c r="Z105" s="317"/>
    </row>
    <row r="106" ht="31.25" customHeight="1">
      <c r="Q106" s="318">
        <v>38</v>
      </c>
      <c r="R106" t="s" s="319">
        <v>318</v>
      </c>
      <c r="S106" s="319"/>
      <c r="T106" t="s" s="320">
        <v>319</v>
      </c>
      <c r="U106" t="s" s="321">
        <v>25</v>
      </c>
      <c r="V106" s="313">
        <v>1</v>
      </c>
      <c r="W106" s="314" cm="1">
        <f t="array" ref="W106">AH159+BC265+BX371+CS477+DN582</f>
        <v>6</v>
      </c>
      <c r="X106" s="315" cm="1">
        <f t="array" ref="X106">AJ159+BE265+BZ371+CU477+DP582</f>
        <v>0</v>
      </c>
      <c r="Y106" s="316">
        <v>0</v>
      </c>
      <c r="Z106" s="317"/>
    </row>
    <row r="107" ht="31.25" customHeight="1">
      <c r="Q107" s="318">
        <v>39</v>
      </c>
      <c r="R107" t="s" s="319">
        <v>408</v>
      </c>
      <c r="S107" t="s" s="319">
        <v>409</v>
      </c>
      <c r="T107" t="s" s="320">
        <v>352</v>
      </c>
      <c r="U107" t="s" s="321">
        <v>25</v>
      </c>
      <c r="V107" t="s" s="325">
        <v>25</v>
      </c>
      <c r="W107" s="314" cm="1">
        <f t="array" ref="W107">AH160+BC266+BX372+CS478+DN583</f>
        <v>19</v>
      </c>
      <c r="X107" s="315" cm="1">
        <f t="array" ref="X107">AJ160+BE266+BZ372+CU478+DP583</f>
        <v>0</v>
      </c>
      <c r="Y107" s="316" cm="1">
        <f t="array" ref="Y107">E25/W107</f>
        <v>63.1578947368421</v>
      </c>
      <c r="Z107" s="317"/>
    </row>
    <row r="108" ht="31.25" customHeight="1">
      <c r="Q108" s="318">
        <v>40</v>
      </c>
      <c r="R108" t="s" s="319">
        <v>410</v>
      </c>
      <c r="S108" t="s" s="324">
        <v>411</v>
      </c>
      <c r="T108" t="s" s="320">
        <v>349</v>
      </c>
      <c r="U108" t="s" s="321">
        <v>25</v>
      </c>
      <c r="V108" t="s" s="325">
        <v>25</v>
      </c>
      <c r="W108" s="314" cm="1">
        <f t="array" ref="W108">AH161+BC267+BX373+CS479+DN584</f>
        <v>18</v>
      </c>
      <c r="X108" s="315" cm="1">
        <f t="array" ref="X108">AJ161+BE267+BZ373+CU479+DP584</f>
        <v>0</v>
      </c>
      <c r="Y108" s="316" cm="1">
        <f t="array" ref="Y108">E16/W108</f>
        <v>47.2222222222222</v>
      </c>
      <c r="Z108" s="317"/>
    </row>
    <row r="109" ht="31.25" customHeight="1">
      <c r="Q109" s="318">
        <v>41</v>
      </c>
      <c r="R109" t="s" s="319">
        <v>412</v>
      </c>
      <c r="S109" t="s" s="319">
        <v>413</v>
      </c>
      <c r="T109" t="s" s="320">
        <v>358</v>
      </c>
      <c r="U109" t="s" s="321">
        <v>25</v>
      </c>
      <c r="V109" t="s" s="325">
        <v>25</v>
      </c>
      <c r="W109" s="314" cm="1">
        <f t="array" ref="W109">AH162+BC268+BX374+CS480+DN585</f>
        <v>10</v>
      </c>
      <c r="X109" s="315" cm="1">
        <f t="array" ref="X109">AJ162+BE268+BZ374+CU480+DP585</f>
        <v>0</v>
      </c>
      <c r="Y109" s="316" cm="1">
        <f t="array" ref="Y109">600/W109</f>
        <v>60</v>
      </c>
      <c r="Z109" s="317"/>
    </row>
    <row r="110" ht="31.25" customHeight="1">
      <c r="Q110" s="318">
        <v>42</v>
      </c>
      <c r="R110" t="s" s="319">
        <v>414</v>
      </c>
      <c r="S110" t="s" s="319">
        <v>415</v>
      </c>
      <c r="T110" t="s" s="320">
        <v>359</v>
      </c>
      <c r="U110" t="s" s="321">
        <v>25</v>
      </c>
      <c r="V110" t="s" s="325">
        <v>25</v>
      </c>
      <c r="W110" s="314" cm="1">
        <f t="array" ref="W110">AH163+BC269+BX375+CS481+DN586</f>
        <v>13</v>
      </c>
      <c r="X110" s="315" cm="1">
        <f t="array" ref="X110">AJ163+BE269+BZ375+CU481+DP586</f>
        <v>0</v>
      </c>
      <c r="Y110" s="316" cm="1">
        <f t="array" ref="Y110">600/W110</f>
        <v>46.1538461538462</v>
      </c>
      <c r="Z110" s="317"/>
    </row>
    <row r="111" ht="31.25" customHeight="1">
      <c r="Q111" s="318">
        <v>43</v>
      </c>
      <c r="R111" t="s" s="319">
        <v>416</v>
      </c>
      <c r="S111" t="s" s="319">
        <v>417</v>
      </c>
      <c r="T111" t="s" s="320">
        <v>360</v>
      </c>
      <c r="U111" t="s" s="321">
        <v>25</v>
      </c>
      <c r="V111" t="s" s="325">
        <v>25</v>
      </c>
      <c r="W111" s="314" cm="1">
        <f t="array" ref="W111">AH164+BC270+BX376+CS482+DN587</f>
        <v>5</v>
      </c>
      <c r="X111" s="315" cm="1">
        <f t="array" ref="X111">AJ164+BE270+BZ376+CU482+DP587</f>
        <v>0</v>
      </c>
      <c r="Y111" s="316" cm="1">
        <f t="array" ref="Y111">E30/W111</f>
        <v>270</v>
      </c>
      <c r="Z111" s="317"/>
    </row>
    <row r="112" ht="31.25" customHeight="1">
      <c r="Q112" s="318">
        <v>44</v>
      </c>
      <c r="R112" t="s" s="319">
        <v>418</v>
      </c>
      <c r="S112" t="s" s="324">
        <v>419</v>
      </c>
      <c r="T112" t="s" s="320">
        <v>363</v>
      </c>
      <c r="U112" t="s" s="321">
        <v>25</v>
      </c>
      <c r="V112" t="s" s="326">
        <v>25</v>
      </c>
      <c r="W112" s="314" cm="1">
        <f t="array" ref="W112">AH165+BC271+BX377+CS483+DN588</f>
        <v>10</v>
      </c>
      <c r="X112" s="315" cm="1">
        <f t="array" ref="X112">AJ165+BE271+BZ377+CU483+DP588</f>
        <v>0</v>
      </c>
      <c r="Y112" s="316" cm="1">
        <f t="array" ref="Y112">E31/W112</f>
        <v>135</v>
      </c>
      <c r="Z112" s="317"/>
    </row>
    <row r="113" ht="49.85" customHeight="1">
      <c r="Q113" s="318">
        <v>45</v>
      </c>
      <c r="R113" t="s" s="319">
        <v>420</v>
      </c>
      <c r="S113" s="324"/>
      <c r="T113" t="s" s="320">
        <v>355</v>
      </c>
      <c r="U113" t="s" s="321">
        <v>25</v>
      </c>
      <c r="V113" t="s" s="326">
        <v>25</v>
      </c>
      <c r="W113" s="314" cm="1">
        <f t="array" ref="W113">AH166+BC272+BX378+CS484+DN589</f>
        <v>7</v>
      </c>
      <c r="X113" s="315" cm="1">
        <f t="array" ref="X113">AJ166+BE272+BZ378+CU484+DP589</f>
        <v>0</v>
      </c>
      <c r="Y113" s="316" cm="1">
        <f t="array" ref="Y113">E26/W113</f>
        <v>171.428571428571</v>
      </c>
      <c r="Z113" s="317"/>
    </row>
    <row r="114" ht="31.25" customHeight="1">
      <c r="Q114" s="318">
        <v>46</v>
      </c>
      <c r="R114" t="s" s="319">
        <v>421</v>
      </c>
      <c r="S114" s="324"/>
      <c r="T114" t="s" s="320">
        <v>357</v>
      </c>
      <c r="U114" t="s" s="321">
        <v>25</v>
      </c>
      <c r="V114" t="s" s="326">
        <v>25</v>
      </c>
      <c r="W114" s="314" cm="1">
        <f t="array" ref="W114">AH167+BC273+BX379+CS485+DN590</f>
        <v>1</v>
      </c>
      <c r="X114" s="315" cm="1">
        <f t="array" ref="X114">AJ167+BE273+BZ379+CU485+DP590</f>
        <v>0</v>
      </c>
      <c r="Y114" s="316" cm="1">
        <f t="array" ref="Y114">E27/W114</f>
        <v>1200</v>
      </c>
      <c r="Z114" s="317"/>
    </row>
    <row r="115" ht="31.25" customHeight="1">
      <c r="Q115" s="318">
        <v>47</v>
      </c>
      <c r="R115" t="s" s="319">
        <v>422</v>
      </c>
      <c r="S115" s="324"/>
      <c r="T115" t="s" s="320">
        <v>365</v>
      </c>
      <c r="U115" t="s" s="321">
        <v>25</v>
      </c>
      <c r="V115" t="s" s="326">
        <v>25</v>
      </c>
      <c r="W115" s="314" cm="1">
        <f t="array" ref="W115">AH168+BC274+BX380+CS486+DN591</f>
        <v>0</v>
      </c>
      <c r="X115" s="315" cm="1">
        <f t="array" ref="X115">AJ171+BE277+BZ383+CU489+DP594</f>
        <v>0</v>
      </c>
      <c r="Y115" s="316" cm="1">
        <f t="array" ref="Y115">E28/W115</f>
      </c>
      <c r="Z115" s="317"/>
    </row>
    <row r="116" ht="31.25" customHeight="1">
      <c r="Q116" s="318">
        <v>48</v>
      </c>
      <c r="R116" t="s" s="319">
        <v>423</v>
      </c>
      <c r="S116" s="324"/>
      <c r="T116" t="s" s="320">
        <v>368</v>
      </c>
      <c r="U116" t="s" s="321">
        <v>25</v>
      </c>
      <c r="V116" t="s" s="326">
        <v>25</v>
      </c>
      <c r="W116" s="314" cm="1">
        <f t="array" ref="W116">AH169+BC275+BX381+CS487+DN592</f>
        <v>0</v>
      </c>
      <c r="X116" s="315" cm="1">
        <f t="array" ref="X116">AJ172+BE278+BZ384+CU490+DP595</f>
        <v>0</v>
      </c>
      <c r="Y116" s="316" cm="1">
        <f t="array" ref="Y116">E29/W116</f>
      </c>
      <c r="Z116" s="317"/>
    </row>
    <row r="117" ht="31.25" customHeight="1">
      <c r="Q117" s="318">
        <v>49</v>
      </c>
      <c r="R117" t="s" s="319">
        <v>424</v>
      </c>
      <c r="S117" s="324"/>
      <c r="T117" t="s" s="320">
        <v>371</v>
      </c>
      <c r="U117" t="s" s="321">
        <v>25</v>
      </c>
      <c r="V117" t="s" s="326">
        <v>25</v>
      </c>
      <c r="W117" s="314" cm="1">
        <f t="array" ref="W117">AH170+BC276+BX382+CS488+DN593</f>
        <v>0</v>
      </c>
      <c r="X117" s="315" cm="1">
        <f t="array" ref="X117">AJ173+BE279+BZ385+CU491+DP596</f>
        <v>0</v>
      </c>
      <c r="Y117" s="316" cm="1">
        <f t="array" ref="Y117">E30/W117</f>
      </c>
      <c r="Z117" s="317"/>
    </row>
    <row r="118" ht="37.5" customHeight="1">
      <c r="Q118" s="319"/>
      <c r="R118" s="319"/>
      <c r="S118" s="319"/>
      <c r="T118" t="s" s="320">
        <v>102</v>
      </c>
      <c r="U118" t="s" s="312">
        <v>25</v>
      </c>
      <c r="V118" s="313">
        <v>20</v>
      </c>
      <c r="W118" s="314" cm="1">
        <f t="array" ref="W118">AH171+BC277+BX383+CS489+DN594</f>
        <v>15</v>
      </c>
      <c r="X118" s="315" cm="1">
        <f t="array" ref="X118">AJ162+BE268+BZ374+CU480+DP585</f>
        <v>0</v>
      </c>
      <c r="Y118" s="316"/>
      <c r="Z118" s="317"/>
    </row>
    <row r="119" ht="37.5" customHeight="1">
      <c r="Q119" s="319"/>
      <c r="R119" s="319"/>
      <c r="S119" s="319"/>
      <c r="T119" t="s" s="320">
        <v>30</v>
      </c>
      <c r="U119" s="327">
        <v>160</v>
      </c>
      <c r="V119" s="313" cm="1">
        <f t="array" ref="V119">SUM(V69:V118)</f>
        <v>269</v>
      </c>
      <c r="W119" s="313" cm="1">
        <f t="array" ref="W119">SUM(W69:W118)</f>
        <v>328</v>
      </c>
      <c r="X119" s="313" cm="1">
        <f t="array" ref="X119">SUM(X69:X118)</f>
        <v>2</v>
      </c>
      <c r="Y119" s="328" cm="1">
        <f t="array" ref="Y119">SUM(Y69:Y118)</f>
      </c>
      <c r="Z119" s="329" cm="1">
        <f t="array" ref="Z119">SUM(Z69:Z118)</f>
        <v>0</v>
      </c>
    </row>
    <row r="121" ht="27.65" customHeight="1">
      <c r="AA121" t="s" s="2">
        <v>72</v>
      </c>
      <c r="AB121" s="2"/>
      <c r="AC121" s="2"/>
      <c r="AD121" s="2"/>
      <c r="AE121" s="2"/>
      <c r="AF121" s="2"/>
      <c r="AG121" s="2"/>
      <c r="AH121" s="2"/>
      <c r="AI121" s="2"/>
      <c r="AJ121" s="2"/>
    </row>
    <row r="122" ht="29.5" customHeight="1">
      <c r="AA122" s="331"/>
      <c r="AB122" t="s" s="332">
        <v>320</v>
      </c>
      <c r="AC122" t="s" s="249">
        <v>321</v>
      </c>
      <c r="AD122" t="s" s="249">
        <v>322</v>
      </c>
      <c r="AE122" t="s" s="249">
        <v>323</v>
      </c>
      <c r="AF122" t="s" s="249">
        <v>324</v>
      </c>
      <c r="AG122" t="s" s="249">
        <v>325</v>
      </c>
      <c r="AH122" t="s" s="249">
        <v>53</v>
      </c>
      <c r="AI122" t="s" s="249">
        <v>67</v>
      </c>
      <c r="AJ122" t="s" s="249">
        <v>160</v>
      </c>
    </row>
    <row r="123" ht="29.5" customHeight="1">
      <c r="AA123" t="s" s="333">
        <v>35</v>
      </c>
      <c r="AB123" s="334">
        <v>1</v>
      </c>
      <c r="AC123" s="335">
        <v>1</v>
      </c>
      <c r="AD123" s="335">
        <v>1</v>
      </c>
      <c r="AE123" s="336"/>
      <c r="AF123" s="335">
        <v>1</v>
      </c>
      <c r="AG123" s="335">
        <v>1</v>
      </c>
      <c r="AH123" s="337" cm="1">
        <f t="array" ref="AH123">SUM(AB123:AG123)</f>
        <v>5</v>
      </c>
      <c r="AI123" s="338"/>
      <c r="AJ123" s="338"/>
    </row>
    <row r="124" ht="29.2" customHeight="1">
      <c r="AA124" t="s" s="264">
        <v>47</v>
      </c>
      <c r="AB124" s="286"/>
      <c r="AC124" s="287"/>
      <c r="AD124" s="339">
        <v>1</v>
      </c>
      <c r="AE124" s="287"/>
      <c r="AF124" s="339">
        <v>1</v>
      </c>
      <c r="AG124" s="339">
        <v>1</v>
      </c>
      <c r="AH124" s="340" cm="1">
        <f t="array" ref="AH124">SUM(AB124:AG124)</f>
        <v>3</v>
      </c>
      <c r="AI124" s="259"/>
      <c r="AJ124" s="259"/>
    </row>
    <row r="125" ht="29.2" customHeight="1">
      <c r="AA125" t="s" s="341">
        <v>10</v>
      </c>
      <c r="AB125" s="342">
        <v>1</v>
      </c>
      <c r="AC125" s="343">
        <v>1</v>
      </c>
      <c r="AD125" s="343">
        <v>1</v>
      </c>
      <c r="AE125" s="343">
        <v>1</v>
      </c>
      <c r="AF125" s="343">
        <v>1</v>
      </c>
      <c r="AG125" s="343">
        <v>1</v>
      </c>
      <c r="AH125" s="340" cm="1">
        <f t="array" ref="AH125">SUM(AB125:AG125)</f>
        <v>6</v>
      </c>
      <c r="AI125" s="259"/>
      <c r="AJ125" s="259"/>
    </row>
    <row r="126" ht="29.2" customHeight="1">
      <c r="AA126" t="s" s="264">
        <v>32</v>
      </c>
      <c r="AB126" s="286"/>
      <c r="AC126" s="287"/>
      <c r="AD126" s="287"/>
      <c r="AE126" s="344"/>
      <c r="AF126" s="287"/>
      <c r="AG126" s="287"/>
      <c r="AH126" s="340" cm="1">
        <f t="array" ref="AH126">SUM(AB126:AG126)</f>
        <v>0</v>
      </c>
      <c r="AI126" s="259"/>
      <c r="AJ126" s="259"/>
    </row>
    <row r="127" ht="29.25" customHeight="1">
      <c r="AA127" t="s" s="264">
        <v>16</v>
      </c>
      <c r="AB127" s="286"/>
      <c r="AC127" s="287"/>
      <c r="AD127" s="339">
        <v>1</v>
      </c>
      <c r="AE127" s="339">
        <v>1</v>
      </c>
      <c r="AF127" s="339">
        <v>1</v>
      </c>
      <c r="AG127" s="287"/>
      <c r="AH127" s="340" cm="1">
        <f t="array" ref="AH127">SUM(AB127:AG127)</f>
        <v>3</v>
      </c>
      <c r="AI127" s="259"/>
      <c r="AJ127" s="259"/>
    </row>
    <row r="128" ht="29.2" customHeight="1">
      <c r="AA128" t="s" s="264">
        <v>18</v>
      </c>
      <c r="AB128" s="286"/>
      <c r="AC128" s="287"/>
      <c r="AD128" s="344"/>
      <c r="AE128" s="287"/>
      <c r="AF128" s="287"/>
      <c r="AG128" s="287"/>
      <c r="AH128" s="340" cm="1">
        <f t="array" ref="AH128">SUM(AB128:AG128)</f>
        <v>0</v>
      </c>
      <c r="AI128" s="259"/>
      <c r="AJ128" s="259"/>
    </row>
    <row r="129" ht="29.2" customHeight="1">
      <c r="AA129" t="s" s="264">
        <v>287</v>
      </c>
      <c r="AB129" s="286"/>
      <c r="AC129" s="287"/>
      <c r="AD129" s="287"/>
      <c r="AE129" s="287"/>
      <c r="AF129" s="287"/>
      <c r="AG129" s="287"/>
      <c r="AH129" s="340" cm="1">
        <f t="array" ref="AH129">SUM(AB129:AG129)</f>
        <v>0</v>
      </c>
      <c r="AI129" s="259"/>
      <c r="AJ129" s="259"/>
    </row>
    <row r="130" ht="25.2" customHeight="1">
      <c r="AA130" t="s" s="264">
        <v>45</v>
      </c>
      <c r="AB130" s="345">
        <v>1</v>
      </c>
      <c r="AC130" s="287"/>
      <c r="AD130" s="339">
        <v>1</v>
      </c>
      <c r="AE130" s="287"/>
      <c r="AF130" s="339">
        <v>1</v>
      </c>
      <c r="AG130" s="287"/>
      <c r="AH130" s="340" cm="1">
        <f t="array" ref="AH130">SUM(AB130:AG130)</f>
        <v>3</v>
      </c>
      <c r="AI130" s="259"/>
      <c r="AJ130" s="259"/>
    </row>
    <row r="131" ht="29.2" customHeight="1">
      <c r="AA131" t="s" s="264">
        <v>154</v>
      </c>
      <c r="AB131" s="345">
        <v>1</v>
      </c>
      <c r="AC131" s="287"/>
      <c r="AD131" s="339">
        <v>1</v>
      </c>
      <c r="AE131" s="287"/>
      <c r="AF131" s="287"/>
      <c r="AG131" s="287"/>
      <c r="AH131" s="340" cm="1">
        <f t="array" ref="AH131">SUM(AB131:AG131)</f>
        <v>2</v>
      </c>
      <c r="AI131" s="259"/>
      <c r="AJ131" s="259"/>
    </row>
    <row r="132" ht="29.2" customHeight="1">
      <c r="AA132" t="s" s="264">
        <v>257</v>
      </c>
      <c r="AB132" s="345">
        <v>1</v>
      </c>
      <c r="AC132" s="287"/>
      <c r="AD132" s="339">
        <v>1</v>
      </c>
      <c r="AE132" s="344"/>
      <c r="AF132" s="339">
        <v>1</v>
      </c>
      <c r="AG132" s="287"/>
      <c r="AH132" s="340" cm="1">
        <f t="array" ref="AH132">SUM(AB132:AG132)</f>
        <v>3</v>
      </c>
      <c r="AI132" s="259"/>
      <c r="AJ132" s="259"/>
    </row>
    <row r="133" ht="29.2" customHeight="1">
      <c r="AA133" t="s" s="264">
        <v>391</v>
      </c>
      <c r="AB133" s="345">
        <v>1</v>
      </c>
      <c r="AC133" s="287"/>
      <c r="AD133" s="339">
        <v>1</v>
      </c>
      <c r="AE133" s="344"/>
      <c r="AF133" s="339">
        <v>1</v>
      </c>
      <c r="AG133" s="287"/>
      <c r="AH133" s="340" cm="1">
        <f t="array" ref="AH133">SUM(AB133:AG133)</f>
        <v>3</v>
      </c>
      <c r="AI133" s="259"/>
      <c r="AJ133" s="259"/>
    </row>
    <row r="134" ht="29.2" customHeight="1">
      <c r="AA134" t="s" s="264">
        <v>393</v>
      </c>
      <c r="AB134" s="286"/>
      <c r="AC134" s="287"/>
      <c r="AD134" s="287"/>
      <c r="AE134" s="344"/>
      <c r="AF134" s="287"/>
      <c r="AG134" s="287"/>
      <c r="AH134" s="340" cm="1">
        <f t="array" ref="AH134">SUM(AB134:AG134)</f>
        <v>0</v>
      </c>
      <c r="AI134" s="259"/>
      <c r="AJ134" s="259"/>
    </row>
    <row r="135" ht="29.2" customHeight="1">
      <c r="AA135" t="s" s="264">
        <v>395</v>
      </c>
      <c r="AB135" s="286"/>
      <c r="AC135" s="287"/>
      <c r="AD135" s="287"/>
      <c r="AE135" s="287"/>
      <c r="AF135" s="287"/>
      <c r="AG135" s="287"/>
      <c r="AH135" s="340" cm="1">
        <f t="array" ref="AH135">SUM(AB135:AG135)</f>
        <v>0</v>
      </c>
      <c r="AI135" s="259"/>
      <c r="AJ135" s="259"/>
    </row>
    <row r="136" ht="29.2" customHeight="1">
      <c r="AA136" t="s" s="264">
        <v>155</v>
      </c>
      <c r="AB136" s="345">
        <v>1</v>
      </c>
      <c r="AC136" s="287"/>
      <c r="AD136" s="339">
        <v>1</v>
      </c>
      <c r="AE136" s="344"/>
      <c r="AF136" s="339">
        <v>1</v>
      </c>
      <c r="AG136" s="287"/>
      <c r="AH136" s="340" cm="1">
        <f t="array" ref="AH136">SUM(AB136:AG136)</f>
        <v>3</v>
      </c>
      <c r="AI136" s="259"/>
      <c r="AJ136" s="259"/>
    </row>
    <row r="137" ht="29.2" customHeight="1">
      <c r="AA137" t="s" s="341">
        <v>37</v>
      </c>
      <c r="AB137" s="286"/>
      <c r="AC137" s="343">
        <v>1</v>
      </c>
      <c r="AD137" s="343">
        <v>1</v>
      </c>
      <c r="AE137" s="343">
        <v>1</v>
      </c>
      <c r="AF137" s="287"/>
      <c r="AG137" s="287"/>
      <c r="AH137" s="340" cm="1">
        <f t="array" ref="AH137">SUM(AB137:AG137)</f>
        <v>3</v>
      </c>
      <c r="AI137" s="259"/>
      <c r="AJ137" s="259"/>
    </row>
    <row r="138" ht="29.2" customHeight="1">
      <c r="AA138" t="s" s="264">
        <v>19</v>
      </c>
      <c r="AB138" s="286"/>
      <c r="AC138" s="287"/>
      <c r="AD138" s="287"/>
      <c r="AE138" s="344"/>
      <c r="AF138" s="287"/>
      <c r="AG138" s="287"/>
      <c r="AH138" s="340" cm="1">
        <f t="array" ref="AH138">SUM(AB138:AG138)</f>
        <v>0</v>
      </c>
      <c r="AI138" s="259"/>
      <c r="AJ138" s="259"/>
    </row>
    <row r="139" ht="29.2" customHeight="1">
      <c r="AA139" t="s" s="264">
        <v>239</v>
      </c>
      <c r="AB139" s="286"/>
      <c r="AC139" s="287"/>
      <c r="AD139" s="287"/>
      <c r="AE139" s="344"/>
      <c r="AF139" s="287"/>
      <c r="AG139" s="287"/>
      <c r="AH139" s="340" cm="1">
        <f t="array" ref="AH139">SUM(AB139:AG139)</f>
        <v>0</v>
      </c>
      <c r="AI139" s="259"/>
      <c r="AJ139" s="259"/>
    </row>
    <row r="140" ht="29.2" customHeight="1">
      <c r="AA140" t="s" s="264">
        <v>262</v>
      </c>
      <c r="AB140" s="345">
        <v>1</v>
      </c>
      <c r="AC140" s="339">
        <v>1</v>
      </c>
      <c r="AD140" s="287"/>
      <c r="AE140" s="339">
        <v>1</v>
      </c>
      <c r="AF140" s="339">
        <v>1</v>
      </c>
      <c r="AG140" s="287"/>
      <c r="AH140" s="340" cm="1">
        <f t="array" ref="AH140">SUM(AB140:AG140)</f>
        <v>4</v>
      </c>
      <c r="AI140" s="259"/>
      <c r="AJ140" s="259"/>
    </row>
    <row r="141" ht="29.2" customHeight="1">
      <c r="AA141" t="s" s="264">
        <v>265</v>
      </c>
      <c r="AB141" s="286"/>
      <c r="AC141" s="287"/>
      <c r="AD141" s="339">
        <v>1</v>
      </c>
      <c r="AE141" s="339">
        <v>1</v>
      </c>
      <c r="AF141" s="287"/>
      <c r="AG141" s="287"/>
      <c r="AH141" s="340" cm="1">
        <f t="array" ref="AH141">SUM(AB141:AG141)</f>
        <v>2</v>
      </c>
      <c r="AI141" s="287"/>
      <c r="AJ141" s="287"/>
    </row>
    <row r="142" ht="27.2" customHeight="1">
      <c r="AA142" t="s" s="264">
        <v>250</v>
      </c>
      <c r="AB142" s="286"/>
      <c r="AC142" s="339">
        <v>1</v>
      </c>
      <c r="AD142" s="339">
        <v>1</v>
      </c>
      <c r="AE142" s="339">
        <v>1</v>
      </c>
      <c r="AF142" s="287"/>
      <c r="AG142" s="287"/>
      <c r="AH142" s="340" cm="1">
        <f t="array" ref="AH142">SUM(AB142:AG142)</f>
        <v>3</v>
      </c>
      <c r="AI142" s="287"/>
      <c r="AJ142" s="287"/>
    </row>
    <row r="143" ht="29.2" customHeight="1">
      <c r="AA143" t="s" s="264">
        <v>268</v>
      </c>
      <c r="AB143" s="286"/>
      <c r="AC143" s="287"/>
      <c r="AD143" s="287"/>
      <c r="AE143" s="344"/>
      <c r="AF143" s="287"/>
      <c r="AG143" s="287"/>
      <c r="AH143" s="340" cm="1">
        <f t="array" ref="AH143">SUM(AB143:AG143)</f>
        <v>0</v>
      </c>
      <c r="AI143" s="287"/>
      <c r="AJ143" s="287"/>
    </row>
    <row r="144" ht="29.2" customHeight="1">
      <c r="AA144" t="s" s="264">
        <v>156</v>
      </c>
      <c r="AB144" s="345">
        <v>1</v>
      </c>
      <c r="AC144" s="339">
        <v>1</v>
      </c>
      <c r="AD144" s="339">
        <v>1</v>
      </c>
      <c r="AE144" s="339">
        <v>1</v>
      </c>
      <c r="AF144" s="339">
        <v>1</v>
      </c>
      <c r="AG144" s="287"/>
      <c r="AH144" s="340" cm="1">
        <f t="array" ref="AH144">SUM(AB144:AG144)</f>
        <v>5</v>
      </c>
      <c r="AI144" s="259"/>
      <c r="AJ144" s="259"/>
    </row>
    <row r="145" ht="29.2" customHeight="1">
      <c r="AA145" t="s" s="264">
        <v>259</v>
      </c>
      <c r="AB145" s="286"/>
      <c r="AC145" s="287"/>
      <c r="AD145" s="287"/>
      <c r="AE145" s="344"/>
      <c r="AF145" s="287"/>
      <c r="AG145" s="287"/>
      <c r="AH145" s="340" cm="1">
        <f t="array" ref="AH145">SUM(AB145:AG145)</f>
        <v>0</v>
      </c>
      <c r="AI145" s="259"/>
      <c r="AJ145" s="259"/>
    </row>
    <row r="146" ht="29.2" customHeight="1">
      <c r="AA146" t="s" s="264">
        <v>274</v>
      </c>
      <c r="AB146" s="286"/>
      <c r="AC146" s="287"/>
      <c r="AD146" s="287"/>
      <c r="AE146" s="344"/>
      <c r="AF146" s="287"/>
      <c r="AG146" s="287"/>
      <c r="AH146" s="340" cm="1">
        <f t="array" ref="AH146">SUM(AB146:AG146)</f>
        <v>0</v>
      </c>
      <c r="AI146" s="259"/>
      <c r="AJ146" s="259"/>
    </row>
    <row r="147" ht="29.2" customHeight="1">
      <c r="AA147" t="s" s="264">
        <v>48</v>
      </c>
      <c r="AB147" s="346">
        <v>1</v>
      </c>
      <c r="AC147" s="287"/>
      <c r="AD147" s="287"/>
      <c r="AE147" s="344"/>
      <c r="AF147" s="287"/>
      <c r="AG147" s="287"/>
      <c r="AH147" s="340" cm="1">
        <f t="array" ref="AH147">SUM(AB147:AG147)</f>
        <v>1</v>
      </c>
      <c r="AI147" s="259"/>
      <c r="AJ147" s="259"/>
    </row>
    <row r="148" ht="29.2" customHeight="1">
      <c r="AA148" t="s" s="264">
        <v>49</v>
      </c>
      <c r="AB148" s="346">
        <v>1</v>
      </c>
      <c r="AC148" s="287"/>
      <c r="AD148" s="287"/>
      <c r="AE148" s="344"/>
      <c r="AF148" s="287"/>
      <c r="AG148" s="287"/>
      <c r="AH148" s="340" cm="1">
        <f t="array" ref="AH148">SUM(AB148:AG148)</f>
        <v>1</v>
      </c>
      <c r="AI148" s="259"/>
      <c r="AJ148" s="259"/>
    </row>
    <row r="149" ht="29.2" customHeight="1">
      <c r="AA149" t="s" s="264">
        <v>50</v>
      </c>
      <c r="AB149" s="286"/>
      <c r="AC149" s="287"/>
      <c r="AD149" s="287"/>
      <c r="AE149" s="287"/>
      <c r="AF149" s="339">
        <v>1</v>
      </c>
      <c r="AG149" s="339">
        <v>1</v>
      </c>
      <c r="AH149" s="340" cm="1">
        <f t="array" ref="AH149">SUM(AB149:AG149)</f>
        <v>2</v>
      </c>
      <c r="AI149" s="259"/>
      <c r="AJ149" s="259"/>
    </row>
    <row r="150" ht="29.2" customHeight="1">
      <c r="AA150" t="s" s="264">
        <v>51</v>
      </c>
      <c r="AB150" s="286"/>
      <c r="AC150" s="287"/>
      <c r="AD150" s="287"/>
      <c r="AE150" s="344"/>
      <c r="AF150" s="287"/>
      <c r="AG150" s="287"/>
      <c r="AH150" s="340" cm="1">
        <f t="array" ref="AH150">SUM(AB150:AG150)</f>
        <v>0</v>
      </c>
      <c r="AI150" s="259"/>
      <c r="AJ150" s="259"/>
    </row>
    <row r="151" ht="29.2" customHeight="1">
      <c r="AA151" t="s" s="264">
        <v>52</v>
      </c>
      <c r="AB151" s="286"/>
      <c r="AC151" s="287"/>
      <c r="AD151" s="287"/>
      <c r="AE151" s="287"/>
      <c r="AF151" s="339">
        <v>1</v>
      </c>
      <c r="AG151" s="287"/>
      <c r="AH151" s="340" cm="1">
        <f t="array" ref="AH151">SUM(AB151:AG151)</f>
        <v>1</v>
      </c>
      <c r="AI151" s="259"/>
      <c r="AJ151" s="259"/>
    </row>
    <row r="152" ht="29.2" customHeight="1">
      <c r="AA152" t="s" s="264">
        <v>115</v>
      </c>
      <c r="AB152" s="346">
        <v>1</v>
      </c>
      <c r="AC152" s="287"/>
      <c r="AD152" s="287"/>
      <c r="AE152" s="344"/>
      <c r="AF152" s="287"/>
      <c r="AG152" s="287"/>
      <c r="AH152" s="340" cm="1">
        <f t="array" ref="AH152">SUM(AB152:AG152)</f>
        <v>1</v>
      </c>
      <c r="AI152" s="340">
        <v>1</v>
      </c>
      <c r="AJ152" s="259"/>
    </row>
    <row r="153" ht="29.2" customHeight="1">
      <c r="AA153" t="s" s="264">
        <v>197</v>
      </c>
      <c r="AB153" s="286"/>
      <c r="AC153" s="287"/>
      <c r="AD153" s="287"/>
      <c r="AE153" s="344"/>
      <c r="AF153" s="287"/>
      <c r="AG153" s="287"/>
      <c r="AH153" s="340" cm="1">
        <f t="array" ref="AH153">SUM(AB153:AG153)</f>
        <v>0</v>
      </c>
      <c r="AI153" s="259"/>
      <c r="AJ153" s="259"/>
    </row>
    <row r="154" ht="29.2" customHeight="1">
      <c r="AA154" t="s" s="264">
        <v>46</v>
      </c>
      <c r="AB154" s="345">
        <v>1</v>
      </c>
      <c r="AC154" s="287"/>
      <c r="AD154" s="287"/>
      <c r="AE154" s="344"/>
      <c r="AF154" s="287"/>
      <c r="AG154" s="287"/>
      <c r="AH154" s="340" cm="1">
        <f t="array" ref="AH154">SUM(AB154:AG154)</f>
        <v>1</v>
      </c>
      <c r="AI154" s="259"/>
      <c r="AJ154" s="259"/>
    </row>
    <row r="155" ht="29.2" customHeight="1">
      <c r="AA155" t="s" s="264">
        <v>191</v>
      </c>
      <c r="AB155" s="286"/>
      <c r="AC155" s="287"/>
      <c r="AD155" s="339">
        <v>1</v>
      </c>
      <c r="AE155" s="344"/>
      <c r="AF155" s="339">
        <v>1</v>
      </c>
      <c r="AG155" s="287"/>
      <c r="AH155" s="340" cm="1">
        <f t="array" ref="AH155">SUM(AB155:AG155)</f>
        <v>2</v>
      </c>
      <c r="AI155" s="259"/>
      <c r="AJ155" s="259"/>
    </row>
    <row r="156" ht="29.2" customHeight="1">
      <c r="AA156" t="s" s="264">
        <v>109</v>
      </c>
      <c r="AB156" s="286"/>
      <c r="AC156" s="287"/>
      <c r="AD156" s="287"/>
      <c r="AE156" s="339">
        <v>1</v>
      </c>
      <c r="AF156" s="287"/>
      <c r="AG156" s="339">
        <v>1</v>
      </c>
      <c r="AH156" s="340" cm="1">
        <f t="array" ref="AH156">SUM(AB156:AG156)</f>
        <v>2</v>
      </c>
      <c r="AI156" s="259"/>
      <c r="AJ156" s="259"/>
    </row>
    <row r="157" ht="29.2" customHeight="1">
      <c r="AA157" t="s" s="264">
        <v>270</v>
      </c>
      <c r="AB157" s="286"/>
      <c r="AC157" s="287"/>
      <c r="AD157" s="339">
        <v>1</v>
      </c>
      <c r="AE157" s="344"/>
      <c r="AF157" s="287"/>
      <c r="AG157" s="287"/>
      <c r="AH157" s="340" cm="1">
        <f t="array" ref="AH157">SUM(AB157:AG157)</f>
        <v>1</v>
      </c>
      <c r="AI157" s="259"/>
      <c r="AJ157" s="259"/>
    </row>
    <row r="158" ht="29.2" customHeight="1">
      <c r="AA158" t="s" s="264">
        <v>272</v>
      </c>
      <c r="AB158" s="286"/>
      <c r="AC158" s="287"/>
      <c r="AD158" s="287"/>
      <c r="AE158" s="344"/>
      <c r="AF158" s="287"/>
      <c r="AG158" s="287"/>
      <c r="AH158" s="340" cm="1">
        <f t="array" ref="AH158">SUM(AB158:AG158)</f>
        <v>0</v>
      </c>
      <c r="AI158" s="259"/>
      <c r="AJ158" s="259"/>
    </row>
    <row r="159" ht="29.2" customHeight="1">
      <c r="AA159" t="s" s="264">
        <v>319</v>
      </c>
      <c r="AB159" s="345">
        <v>1</v>
      </c>
      <c r="AC159" s="287"/>
      <c r="AD159" s="339">
        <v>1</v>
      </c>
      <c r="AE159" s="339">
        <v>1</v>
      </c>
      <c r="AF159" s="287"/>
      <c r="AG159" s="287"/>
      <c r="AH159" s="340" cm="1">
        <f t="array" ref="AH159">SUM(AB159:AG159)</f>
        <v>3</v>
      </c>
      <c r="AI159" s="259"/>
      <c r="AJ159" s="259"/>
    </row>
    <row r="160" ht="29.2" customHeight="1">
      <c r="AA160" t="s" s="264">
        <v>352</v>
      </c>
      <c r="AB160" s="345">
        <v>1</v>
      </c>
      <c r="AC160" s="339">
        <v>1</v>
      </c>
      <c r="AD160" s="339">
        <v>1</v>
      </c>
      <c r="AE160" s="339">
        <v>1</v>
      </c>
      <c r="AF160" s="339">
        <v>1</v>
      </c>
      <c r="AG160" s="347">
        <v>1</v>
      </c>
      <c r="AH160" s="340" cm="1">
        <f t="array" ref="AH160">SUM(AB160:AG160)</f>
        <v>6</v>
      </c>
      <c r="AI160" s="259"/>
      <c r="AJ160" s="259"/>
    </row>
    <row r="161" ht="29.2" customHeight="1">
      <c r="AA161" t="s" s="264">
        <v>349</v>
      </c>
      <c r="AB161" s="345">
        <v>1</v>
      </c>
      <c r="AC161" s="339">
        <v>1</v>
      </c>
      <c r="AD161" s="339">
        <v>1</v>
      </c>
      <c r="AE161" s="339">
        <v>1</v>
      </c>
      <c r="AF161" s="287"/>
      <c r="AG161" s="287"/>
      <c r="AH161" s="340" cm="1">
        <f t="array" ref="AH161">SUM(AB161:AG161)</f>
        <v>4</v>
      </c>
      <c r="AI161" s="259"/>
      <c r="AJ161" s="259"/>
    </row>
    <row r="162" ht="29.2" customHeight="1">
      <c r="AA162" t="s" s="264">
        <v>358</v>
      </c>
      <c r="AB162" s="286"/>
      <c r="AC162" s="287"/>
      <c r="AD162" s="287"/>
      <c r="AE162" s="344"/>
      <c r="AF162" s="287"/>
      <c r="AG162" s="287"/>
      <c r="AH162" s="340" cm="1">
        <f t="array" ref="AH162">SUM(AB162:AG162)</f>
        <v>0</v>
      </c>
      <c r="AI162" s="259"/>
      <c r="AJ162" s="259"/>
    </row>
    <row r="163" ht="29.2" customHeight="1">
      <c r="AA163" t="s" s="264">
        <v>359</v>
      </c>
      <c r="AB163" s="286"/>
      <c r="AC163" s="287"/>
      <c r="AD163" s="287"/>
      <c r="AE163" s="344"/>
      <c r="AF163" s="287"/>
      <c r="AG163" s="287"/>
      <c r="AH163" s="340" cm="1">
        <f t="array" ref="AH163">SUM(AB163:AG163)</f>
        <v>0</v>
      </c>
      <c r="AI163" s="259"/>
      <c r="AJ163" s="259"/>
    </row>
    <row r="164" ht="29.2" customHeight="1">
      <c r="AA164" t="s" s="264">
        <v>360</v>
      </c>
      <c r="AB164" s="286"/>
      <c r="AC164" s="287"/>
      <c r="AD164" s="287"/>
      <c r="AE164" s="344"/>
      <c r="AF164" s="287"/>
      <c r="AG164" s="287"/>
      <c r="AH164" s="340" cm="1">
        <f t="array" ref="AH164">SUM(AB164:AG164)</f>
        <v>0</v>
      </c>
      <c r="AI164" s="259"/>
      <c r="AJ164" s="259"/>
    </row>
    <row r="165" ht="29.2" customHeight="1">
      <c r="AA165" t="s" s="264">
        <v>363</v>
      </c>
      <c r="AB165" s="286"/>
      <c r="AC165" s="287"/>
      <c r="AD165" s="287"/>
      <c r="AE165" s="344"/>
      <c r="AF165" s="287"/>
      <c r="AG165" s="287"/>
      <c r="AH165" s="340" cm="1">
        <f t="array" ref="AH165">SUM(AB165:AG165)</f>
        <v>0</v>
      </c>
      <c r="AI165" s="259"/>
      <c r="AJ165" s="259"/>
    </row>
    <row r="166" ht="29.2" customHeight="1">
      <c r="AA166" t="s" s="264">
        <v>355</v>
      </c>
      <c r="AB166" s="286"/>
      <c r="AC166" s="287"/>
      <c r="AD166" s="287"/>
      <c r="AE166" s="344"/>
      <c r="AF166" s="287"/>
      <c r="AG166" s="287"/>
      <c r="AH166" s="340" cm="1">
        <f t="array" ref="AH166">SUM(AB166:AG166)</f>
        <v>0</v>
      </c>
      <c r="AI166" s="259"/>
      <c r="AJ166" s="259"/>
    </row>
    <row r="167" ht="29.2" customHeight="1">
      <c r="AA167" t="s" s="264">
        <v>357</v>
      </c>
      <c r="AB167" s="286"/>
      <c r="AC167" s="287"/>
      <c r="AD167" s="287"/>
      <c r="AE167" s="344"/>
      <c r="AF167" s="287"/>
      <c r="AG167" s="287"/>
      <c r="AH167" s="340" cm="1">
        <f t="array" ref="AH167">SUM(AB167:AG167)</f>
        <v>0</v>
      </c>
      <c r="AI167" s="259"/>
      <c r="AJ167" s="259"/>
    </row>
    <row r="168" ht="29.2" customHeight="1">
      <c r="AA168" t="s" s="255">
        <v>365</v>
      </c>
      <c r="AB168" s="286"/>
      <c r="AC168" s="287"/>
      <c r="AD168" s="287"/>
      <c r="AE168" s="344"/>
      <c r="AF168" s="287"/>
      <c r="AG168" s="287"/>
      <c r="AH168" s="340" cm="1">
        <f t="array" ref="AH168">SUM(AB168:AG168)</f>
        <v>0</v>
      </c>
      <c r="AI168" s="259"/>
      <c r="AJ168" s="259"/>
    </row>
    <row r="169" ht="29.2" customHeight="1">
      <c r="AA169" t="s" s="264">
        <v>368</v>
      </c>
      <c r="AB169" s="286"/>
      <c r="AC169" s="287"/>
      <c r="AD169" s="287"/>
      <c r="AE169" s="344"/>
      <c r="AF169" s="287"/>
      <c r="AG169" s="287"/>
      <c r="AH169" s="340" cm="1">
        <f t="array" ref="AH169">SUM(AB169:AG169)</f>
        <v>0</v>
      </c>
      <c r="AI169" s="259"/>
      <c r="AJ169" s="259"/>
    </row>
    <row r="170" ht="29.2" customHeight="1">
      <c r="AA170" t="s" s="264">
        <v>371</v>
      </c>
      <c r="AB170" s="286"/>
      <c r="AC170" s="287"/>
      <c r="AD170" s="287"/>
      <c r="AE170" s="344"/>
      <c r="AF170" s="287"/>
      <c r="AG170" s="287"/>
      <c r="AH170" s="340" cm="1">
        <f t="array" ref="AH170">SUM(AB170:AG170)</f>
        <v>0</v>
      </c>
      <c r="AI170" s="259"/>
      <c r="AJ170" s="259"/>
    </row>
    <row r="171" ht="29.2" customHeight="1">
      <c r="AA171" t="s" s="264">
        <v>102</v>
      </c>
      <c r="AB171" s="286"/>
      <c r="AC171" s="348">
        <v>2</v>
      </c>
      <c r="AD171" s="287"/>
      <c r="AE171" s="287"/>
      <c r="AF171" s="287"/>
      <c r="AG171" s="287"/>
      <c r="AH171" s="340" cm="1">
        <f t="array" ref="AH171">SUM(AB171:AG171)</f>
        <v>2</v>
      </c>
      <c r="AI171" s="259"/>
      <c r="AJ171" s="259"/>
    </row>
    <row r="172" ht="29.2" customHeight="1">
      <c r="AA172" s="297"/>
      <c r="AB172" s="286"/>
      <c r="AC172" s="287"/>
      <c r="AD172" s="287"/>
      <c r="AE172" s="287"/>
      <c r="AF172" s="287"/>
      <c r="AG172" s="287"/>
      <c r="AH172" s="340" cm="1">
        <f t="array" ref="AH172">SUM(AB172:AG172)</f>
        <v>0</v>
      </c>
      <c r="AI172" s="259"/>
      <c r="AJ172" s="259"/>
    </row>
    <row r="173" ht="29.2" customHeight="1">
      <c r="AA173" t="s" s="349">
        <v>30</v>
      </c>
      <c r="AB173" s="350" cm="1">
        <f t="array" ref="AB173">SUM(AB123:AB171)</f>
        <v>16</v>
      </c>
      <c r="AC173" s="340" cm="1">
        <f t="array" ref="AC173">SUM(AC123:AC171)</f>
        <v>10</v>
      </c>
      <c r="AD173" s="340" cm="1">
        <f t="array" ref="AD173">SUM(AD123:AD171)</f>
        <v>18</v>
      </c>
      <c r="AE173" s="340" cm="1">
        <f t="array" ref="AE173">SUM(AE123:AE171)</f>
        <v>11</v>
      </c>
      <c r="AF173" s="340" cm="1">
        <f t="array" ref="AF173">SUM(AF123:AF171)</f>
        <v>14</v>
      </c>
      <c r="AG173" s="340" cm="1">
        <f t="array" ref="AG173">SUM(AG123:AG171)</f>
        <v>6</v>
      </c>
      <c r="AH173" s="340" cm="1">
        <f t="array" ref="AH173">SUM(AH123:AH171)</f>
        <v>75</v>
      </c>
      <c r="AI173" s="259"/>
      <c r="AJ173" s="259"/>
    </row>
    <row r="175" ht="27.65" customHeight="1">
      <c r="AK175" t="s" s="2">
        <v>60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46.65" customHeight="1">
      <c r="AK176" s="352"/>
      <c r="AL176" t="s" s="353">
        <v>320</v>
      </c>
      <c r="AM176" t="s" s="354">
        <v>321</v>
      </c>
      <c r="AN176" t="s" s="354">
        <v>322</v>
      </c>
      <c r="AO176" t="s" s="354">
        <v>323</v>
      </c>
      <c r="AP176" t="s" s="354">
        <v>324</v>
      </c>
      <c r="AQ176" t="s" s="354">
        <v>325</v>
      </c>
      <c r="AR176" t="s" s="354">
        <v>425</v>
      </c>
      <c r="AS176" t="s" s="354">
        <v>68</v>
      </c>
      <c r="AT176" t="s" s="354">
        <v>69</v>
      </c>
      <c r="AU176" t="s" s="354">
        <v>426</v>
      </c>
    </row>
    <row r="177" ht="29.3" customHeight="1">
      <c r="AK177" t="s" s="355">
        <v>35</v>
      </c>
      <c r="AL177" s="356"/>
      <c r="AM177" s="357"/>
      <c r="AN177" s="357"/>
      <c r="AO177" s="358"/>
      <c r="AP177" s="358"/>
      <c r="AQ177" s="358"/>
      <c r="AR177" s="358"/>
      <c r="AS177" s="358"/>
      <c r="AT177" s="358"/>
      <c r="AU177" s="358"/>
    </row>
    <row r="178" ht="29.05" customHeight="1">
      <c r="AK178" t="s" s="359">
        <v>47</v>
      </c>
      <c r="AL178" s="360"/>
      <c r="AM178" s="361"/>
      <c r="AN178" s="361"/>
      <c r="AO178" s="361"/>
      <c r="AP178" s="362"/>
      <c r="AQ178" s="362"/>
      <c r="AR178" s="362"/>
      <c r="AS178" s="362"/>
      <c r="AT178" s="362"/>
      <c r="AU178" s="362"/>
    </row>
    <row r="179" ht="29.05" customHeight="1">
      <c r="AK179" t="s" s="359">
        <v>10</v>
      </c>
      <c r="AL179" s="360"/>
      <c r="AM179" s="361"/>
      <c r="AN179" s="361"/>
      <c r="AO179" s="361"/>
      <c r="AP179" s="362"/>
      <c r="AQ179" s="362"/>
      <c r="AR179" s="362"/>
      <c r="AS179" s="362"/>
      <c r="AT179" s="362"/>
      <c r="AU179" s="362"/>
    </row>
    <row r="180" ht="29.05" customHeight="1">
      <c r="AK180" t="s" s="359">
        <v>32</v>
      </c>
      <c r="AL180" s="360"/>
      <c r="AM180" s="361"/>
      <c r="AN180" s="361"/>
      <c r="AO180" s="361"/>
      <c r="AP180" s="362"/>
      <c r="AQ180" s="362"/>
      <c r="AR180" s="362"/>
      <c r="AS180" s="362"/>
      <c r="AT180" s="362"/>
      <c r="AU180" s="362"/>
    </row>
    <row r="181" ht="29.05" customHeight="1">
      <c r="AK181" t="s" s="359">
        <v>16</v>
      </c>
      <c r="AL181" s="360"/>
      <c r="AM181" s="361"/>
      <c r="AN181" s="361"/>
      <c r="AO181" s="361"/>
      <c r="AP181" s="362"/>
      <c r="AQ181" s="362"/>
      <c r="AR181" s="362"/>
      <c r="AS181" s="362"/>
      <c r="AT181" s="362"/>
      <c r="AU181" s="362"/>
    </row>
    <row r="182" ht="30.25" customHeight="1">
      <c r="AK182" t="s" s="359">
        <v>18</v>
      </c>
      <c r="AL182" s="360"/>
      <c r="AM182" s="361"/>
      <c r="AN182" s="361"/>
      <c r="AO182" s="361"/>
      <c r="AP182" s="362"/>
      <c r="AQ182" s="362"/>
      <c r="AR182" s="362"/>
      <c r="AS182" s="362"/>
      <c r="AT182" s="362"/>
      <c r="AU182" s="362"/>
    </row>
    <row r="183" ht="29.05" customHeight="1">
      <c r="AK183" t="s" s="359">
        <v>287</v>
      </c>
      <c r="AL183" s="360"/>
      <c r="AM183" s="361"/>
      <c r="AN183" s="361"/>
      <c r="AO183" s="361"/>
      <c r="AP183" s="362"/>
      <c r="AQ183" s="362"/>
      <c r="AR183" s="362"/>
      <c r="AS183" s="362"/>
      <c r="AT183" s="362"/>
      <c r="AU183" s="362"/>
    </row>
    <row r="184" ht="29.05" customHeight="1">
      <c r="AK184" t="s" s="359">
        <v>45</v>
      </c>
      <c r="AL184" s="360"/>
      <c r="AM184" s="361"/>
      <c r="AN184" s="361"/>
      <c r="AO184" s="361"/>
      <c r="AP184" s="362"/>
      <c r="AQ184" s="362"/>
      <c r="AR184" s="362"/>
      <c r="AS184" s="362"/>
      <c r="AT184" s="362"/>
      <c r="AU184" s="362"/>
    </row>
    <row r="185" ht="29.05" customHeight="1">
      <c r="AK185" t="s" s="359">
        <v>154</v>
      </c>
      <c r="AL185" s="360"/>
      <c r="AM185" s="361"/>
      <c r="AN185" s="361"/>
      <c r="AO185" s="361"/>
      <c r="AP185" s="362"/>
      <c r="AQ185" s="362"/>
      <c r="AR185" s="362"/>
      <c r="AS185" s="362"/>
      <c r="AT185" s="362"/>
      <c r="AU185" s="362"/>
    </row>
    <row r="186" ht="29.05" customHeight="1">
      <c r="AK186" t="s" s="359">
        <v>257</v>
      </c>
      <c r="AL186" s="360"/>
      <c r="AM186" s="361"/>
      <c r="AN186" s="361"/>
      <c r="AO186" s="361"/>
      <c r="AP186" s="362"/>
      <c r="AQ186" s="362"/>
      <c r="AR186" s="361"/>
      <c r="AS186" s="361"/>
      <c r="AT186" s="361"/>
      <c r="AU186" s="361"/>
    </row>
    <row r="187" ht="29.05" customHeight="1">
      <c r="AK187" t="s" s="359">
        <v>391</v>
      </c>
      <c r="AL187" s="360"/>
      <c r="AM187" s="361"/>
      <c r="AN187" s="361"/>
      <c r="AO187" s="361"/>
      <c r="AP187" s="362"/>
      <c r="AQ187" s="362"/>
      <c r="AR187" s="362"/>
      <c r="AS187" s="362"/>
      <c r="AT187" s="362"/>
      <c r="AU187" s="362"/>
    </row>
    <row r="188" ht="29.05" customHeight="1">
      <c r="AK188" t="s" s="359">
        <v>393</v>
      </c>
      <c r="AL188" s="360"/>
      <c r="AM188" s="361"/>
      <c r="AN188" s="361"/>
      <c r="AO188" s="361"/>
      <c r="AP188" s="362"/>
      <c r="AQ188" s="362"/>
      <c r="AR188" s="362"/>
      <c r="AS188" s="362"/>
      <c r="AT188" s="362"/>
      <c r="AU188" s="362"/>
    </row>
    <row r="189" ht="29.05" customHeight="1">
      <c r="AK189" t="s" s="359">
        <v>395</v>
      </c>
      <c r="AL189" s="360"/>
      <c r="AM189" s="361"/>
      <c r="AN189" s="361"/>
      <c r="AO189" s="361"/>
      <c r="AP189" s="362"/>
      <c r="AQ189" s="362"/>
      <c r="AR189" s="362"/>
      <c r="AS189" s="362"/>
      <c r="AT189" s="362"/>
      <c r="AU189" s="362"/>
    </row>
    <row r="190" ht="29.05" customHeight="1">
      <c r="AK190" t="s" s="359">
        <v>155</v>
      </c>
      <c r="AL190" s="360"/>
      <c r="AM190" s="361"/>
      <c r="AN190" s="361"/>
      <c r="AO190" s="361"/>
      <c r="AP190" s="362"/>
      <c r="AQ190" s="362"/>
      <c r="AR190" s="362"/>
      <c r="AS190" s="362"/>
      <c r="AT190" s="362"/>
      <c r="AU190" s="362"/>
    </row>
    <row r="191" ht="29.05" customHeight="1">
      <c r="AK191" t="s" s="359">
        <v>37</v>
      </c>
      <c r="AL191" s="360"/>
      <c r="AM191" s="361"/>
      <c r="AN191" s="361"/>
      <c r="AO191" s="361"/>
      <c r="AP191" s="362"/>
      <c r="AQ191" s="362"/>
      <c r="AR191" s="362"/>
      <c r="AS191" s="362"/>
      <c r="AT191" s="362"/>
      <c r="AU191" s="362"/>
    </row>
    <row r="192" ht="29.05" customHeight="1">
      <c r="AK192" t="s" s="359">
        <v>19</v>
      </c>
      <c r="AL192" s="360"/>
      <c r="AM192" s="361"/>
      <c r="AN192" s="361"/>
      <c r="AO192" s="361"/>
      <c r="AP192" s="362"/>
      <c r="AQ192" s="362"/>
      <c r="AR192" s="362"/>
      <c r="AS192" s="362"/>
      <c r="AT192" s="362"/>
      <c r="AU192" s="362"/>
    </row>
    <row r="193" ht="29.05" customHeight="1">
      <c r="AK193" t="s" s="359">
        <v>239</v>
      </c>
      <c r="AL193" s="363"/>
      <c r="AM193" s="362"/>
      <c r="AN193" s="362"/>
      <c r="AO193" s="362"/>
      <c r="AP193" s="362"/>
      <c r="AQ193" s="362"/>
      <c r="AR193" s="362"/>
      <c r="AS193" s="362"/>
      <c r="AT193" s="362"/>
      <c r="AU193" s="362"/>
    </row>
    <row r="194" ht="29.05" customHeight="1">
      <c r="AK194" t="s" s="359">
        <v>262</v>
      </c>
      <c r="AL194" s="360"/>
      <c r="AM194" s="361"/>
      <c r="AN194" s="361"/>
      <c r="AO194" s="361"/>
      <c r="AP194" s="362"/>
      <c r="AQ194" s="362"/>
      <c r="AR194" s="362"/>
      <c r="AS194" s="362"/>
      <c r="AT194" s="362"/>
      <c r="AU194" s="362"/>
    </row>
    <row r="195" ht="29.05" customHeight="1">
      <c r="AK195" t="s" s="359">
        <v>265</v>
      </c>
      <c r="AL195" s="360"/>
      <c r="AM195" s="362"/>
      <c r="AN195" s="362"/>
      <c r="AO195" s="362"/>
      <c r="AP195" s="362"/>
      <c r="AQ195" s="362"/>
      <c r="AR195" s="362"/>
      <c r="AS195" s="362"/>
      <c r="AT195" s="362"/>
      <c r="AU195" s="362"/>
    </row>
    <row r="196" ht="29.05" customHeight="1">
      <c r="AK196" t="s" s="359">
        <v>250</v>
      </c>
      <c r="AL196" s="360"/>
      <c r="AM196" s="362"/>
      <c r="AN196" s="362"/>
      <c r="AO196" s="362"/>
      <c r="AP196" s="362"/>
      <c r="AQ196" s="362"/>
      <c r="AR196" s="362"/>
      <c r="AS196" s="362"/>
      <c r="AT196" s="362"/>
      <c r="AU196" s="362"/>
    </row>
    <row r="197" ht="29.05" customHeight="1">
      <c r="AK197" t="s" s="359">
        <v>268</v>
      </c>
      <c r="AL197" s="360"/>
      <c r="AM197" s="362"/>
      <c r="AN197" s="362"/>
      <c r="AO197" s="362"/>
      <c r="AP197" s="362"/>
      <c r="AQ197" s="362"/>
      <c r="AR197" s="362"/>
      <c r="AS197" s="362"/>
      <c r="AT197" s="362"/>
      <c r="AU197" s="362"/>
    </row>
    <row r="198" ht="29.35" customHeight="1">
      <c r="AK198" t="s" s="359">
        <v>156</v>
      </c>
      <c r="AL198" s="360"/>
      <c r="AM198" s="362"/>
      <c r="AN198" s="362"/>
      <c r="AO198" s="362"/>
      <c r="AP198" s="362"/>
      <c r="AQ198" s="362"/>
      <c r="AR198" s="362"/>
      <c r="AS198" s="362"/>
      <c r="AT198" s="362"/>
      <c r="AU198" s="362"/>
    </row>
    <row r="199" ht="24.1" customHeight="1">
      <c r="AK199" t="s" s="359">
        <v>259</v>
      </c>
      <c r="AL199" s="360"/>
      <c r="AM199" s="362"/>
      <c r="AN199" s="362"/>
      <c r="AO199" s="362"/>
      <c r="AP199" s="362"/>
      <c r="AQ199" s="362"/>
      <c r="AR199" s="361"/>
      <c r="AS199" s="361"/>
      <c r="AT199" s="361"/>
      <c r="AU199" s="361"/>
    </row>
    <row r="200" ht="29.05" customHeight="1">
      <c r="AK200" t="s" s="359">
        <v>274</v>
      </c>
      <c r="AL200" s="360"/>
      <c r="AM200" s="362"/>
      <c r="AN200" s="362"/>
      <c r="AO200" s="361"/>
      <c r="AP200" s="362"/>
      <c r="AQ200" s="362"/>
      <c r="AR200" s="362"/>
      <c r="AS200" s="362"/>
      <c r="AT200" s="362"/>
      <c r="AU200" s="362"/>
    </row>
    <row r="201" ht="29.05" customHeight="1">
      <c r="AK201" t="s" s="359">
        <v>48</v>
      </c>
      <c r="AL201" s="360"/>
      <c r="AM201" s="362"/>
      <c r="AN201" s="362"/>
      <c r="AO201" s="362"/>
      <c r="AP201" s="362"/>
      <c r="AQ201" s="362"/>
      <c r="AR201" s="362"/>
      <c r="AS201" s="362"/>
      <c r="AT201" s="362"/>
      <c r="AU201" s="362"/>
    </row>
    <row r="202" ht="29.05" customHeight="1">
      <c r="AK202" t="s" s="359">
        <v>49</v>
      </c>
      <c r="AL202" s="360"/>
      <c r="AM202" s="362"/>
      <c r="AN202" s="362"/>
      <c r="AO202" s="362"/>
      <c r="AP202" s="362"/>
      <c r="AQ202" s="362"/>
      <c r="AR202" s="362"/>
      <c r="AS202" s="362"/>
      <c r="AT202" s="362"/>
      <c r="AU202" s="362"/>
    </row>
    <row r="203" ht="29.05" customHeight="1">
      <c r="AK203" t="s" s="359">
        <v>50</v>
      </c>
      <c r="AL203" s="360"/>
      <c r="AM203" s="362"/>
      <c r="AN203" s="362"/>
      <c r="AO203" s="362"/>
      <c r="AP203" s="362"/>
      <c r="AQ203" s="362"/>
      <c r="AR203" s="362"/>
      <c r="AS203" s="362"/>
      <c r="AT203" s="362"/>
      <c r="AU203" s="362"/>
    </row>
    <row r="204" ht="29.05" customHeight="1">
      <c r="AK204" t="s" s="359">
        <v>51</v>
      </c>
      <c r="AL204" s="360"/>
      <c r="AM204" s="362"/>
      <c r="AN204" s="362"/>
      <c r="AO204" s="362"/>
      <c r="AP204" s="362"/>
      <c r="AQ204" s="362"/>
      <c r="AR204" s="362"/>
      <c r="AS204" s="362"/>
      <c r="AT204" s="362"/>
      <c r="AU204" s="362"/>
    </row>
    <row r="205" ht="29.05" customHeight="1">
      <c r="AK205" t="s" s="359">
        <v>52</v>
      </c>
      <c r="AL205" s="360"/>
      <c r="AM205" s="362"/>
      <c r="AN205" s="362"/>
      <c r="AO205" s="362"/>
      <c r="AP205" s="362"/>
      <c r="AQ205" s="362"/>
      <c r="AR205" s="362"/>
      <c r="AS205" s="362"/>
      <c r="AT205" s="362"/>
      <c r="AU205" s="362"/>
    </row>
    <row r="206" ht="29.05" customHeight="1">
      <c r="AK206" t="s" s="359">
        <v>115</v>
      </c>
      <c r="AL206" s="360"/>
      <c r="AM206" s="361"/>
      <c r="AN206" s="361"/>
      <c r="AO206" s="361"/>
      <c r="AP206" s="362"/>
      <c r="AQ206" s="362"/>
      <c r="AR206" s="362"/>
      <c r="AS206" s="362"/>
      <c r="AT206" s="362"/>
      <c r="AU206" s="362"/>
    </row>
    <row r="207" ht="29.05" customHeight="1">
      <c r="AK207" t="s" s="359">
        <v>197</v>
      </c>
      <c r="AL207" s="360"/>
      <c r="AM207" s="361"/>
      <c r="AN207" s="361"/>
      <c r="AO207" s="361"/>
      <c r="AP207" s="362"/>
      <c r="AQ207" s="362"/>
      <c r="AR207" s="362"/>
      <c r="AS207" s="362"/>
      <c r="AT207" s="362"/>
      <c r="AU207" s="362"/>
    </row>
    <row r="208" ht="29.05" customHeight="1">
      <c r="AK208" t="s" s="359">
        <v>46</v>
      </c>
      <c r="AL208" s="360"/>
      <c r="AM208" s="361"/>
      <c r="AN208" s="361"/>
      <c r="AO208" s="361"/>
      <c r="AP208" s="362"/>
      <c r="AQ208" s="362"/>
      <c r="AR208" s="362"/>
      <c r="AS208" s="362"/>
      <c r="AT208" s="362"/>
      <c r="AU208" s="362"/>
    </row>
    <row r="209" ht="29.05" customHeight="1">
      <c r="AK209" t="s" s="359">
        <v>191</v>
      </c>
      <c r="AL209" s="360"/>
      <c r="AM209" s="361"/>
      <c r="AN209" s="361"/>
      <c r="AO209" s="361"/>
      <c r="AP209" s="362"/>
      <c r="AQ209" s="362"/>
      <c r="AR209" s="362"/>
      <c r="AS209" s="362"/>
      <c r="AT209" s="362"/>
      <c r="AU209" s="362"/>
    </row>
    <row r="210" ht="29.05" customHeight="1">
      <c r="AK210" t="s" s="359">
        <v>109</v>
      </c>
      <c r="AL210" s="360"/>
      <c r="AM210" s="361"/>
      <c r="AN210" s="361"/>
      <c r="AO210" s="361"/>
      <c r="AP210" s="362"/>
      <c r="AQ210" s="362"/>
      <c r="AR210" s="362"/>
      <c r="AS210" s="362"/>
      <c r="AT210" s="362"/>
      <c r="AU210" s="362"/>
    </row>
    <row r="211" ht="29.05" customHeight="1">
      <c r="AK211" t="s" s="359">
        <v>270</v>
      </c>
      <c r="AL211" s="360"/>
      <c r="AM211" s="361"/>
      <c r="AN211" s="361"/>
      <c r="AO211" s="361"/>
      <c r="AP211" s="362"/>
      <c r="AQ211" s="362"/>
      <c r="AR211" s="362"/>
      <c r="AS211" s="362"/>
      <c r="AT211" s="362"/>
      <c r="AU211" s="362"/>
    </row>
    <row r="212" ht="29.05" customHeight="1">
      <c r="AK212" t="s" s="359">
        <v>272</v>
      </c>
      <c r="AL212" s="360"/>
      <c r="AM212" s="361"/>
      <c r="AN212" s="361"/>
      <c r="AO212" s="361"/>
      <c r="AP212" s="362"/>
      <c r="AQ212" s="362"/>
      <c r="AR212" s="362"/>
      <c r="AS212" s="362"/>
      <c r="AT212" s="362"/>
      <c r="AU212" s="362"/>
    </row>
    <row r="213" ht="29.05" customHeight="1">
      <c r="AK213" t="s" s="359">
        <v>319</v>
      </c>
      <c r="AL213" s="360"/>
      <c r="AM213" s="361"/>
      <c r="AN213" s="361"/>
      <c r="AO213" s="361"/>
      <c r="AP213" s="362"/>
      <c r="AQ213" s="362"/>
      <c r="AR213" s="362"/>
      <c r="AS213" s="362"/>
      <c r="AT213" s="362"/>
      <c r="AU213" s="362"/>
    </row>
    <row r="214" ht="29.05" customHeight="1">
      <c r="AK214" t="s" s="359">
        <v>352</v>
      </c>
      <c r="AL214" s="360"/>
      <c r="AM214" s="361"/>
      <c r="AN214" s="361"/>
      <c r="AO214" s="361"/>
      <c r="AP214" s="362"/>
      <c r="AQ214" s="362"/>
      <c r="AR214" s="362"/>
      <c r="AS214" s="362"/>
      <c r="AT214" s="362"/>
      <c r="AU214" s="362"/>
    </row>
    <row r="215" ht="24.1" customHeight="1">
      <c r="AK215" t="s" s="359">
        <v>349</v>
      </c>
      <c r="AL215" s="360"/>
      <c r="AM215" s="361"/>
      <c r="AN215" s="361"/>
      <c r="AO215" s="361"/>
      <c r="AP215" s="362"/>
      <c r="AQ215" s="362"/>
      <c r="AR215" s="362"/>
      <c r="AS215" s="362"/>
      <c r="AT215" s="362"/>
      <c r="AU215" s="362"/>
    </row>
    <row r="216" ht="29.05" customHeight="1">
      <c r="AK216" t="s" s="264">
        <v>358</v>
      </c>
      <c r="AL216" s="360"/>
      <c r="AM216" s="361"/>
      <c r="AN216" s="361"/>
      <c r="AO216" s="361"/>
      <c r="AP216" s="362"/>
      <c r="AQ216" s="362"/>
      <c r="AR216" s="362"/>
      <c r="AS216" s="362"/>
      <c r="AT216" s="362"/>
      <c r="AU216" s="362"/>
    </row>
    <row r="217" ht="29.05" customHeight="1">
      <c r="AK217" t="s" s="264">
        <v>359</v>
      </c>
      <c r="AL217" s="360"/>
      <c r="AM217" s="361"/>
      <c r="AN217" s="361"/>
      <c r="AO217" s="361"/>
      <c r="AP217" s="362"/>
      <c r="AQ217" s="362"/>
      <c r="AR217" s="362"/>
      <c r="AS217" s="362"/>
      <c r="AT217" s="362"/>
      <c r="AU217" s="362"/>
    </row>
    <row r="218" ht="29.05" customHeight="1">
      <c r="AK218" t="s" s="264">
        <v>360</v>
      </c>
      <c r="AL218" s="360"/>
      <c r="AM218" s="361"/>
      <c r="AN218" s="361"/>
      <c r="AO218" s="361"/>
      <c r="AP218" s="362"/>
      <c r="AQ218" s="362"/>
      <c r="AR218" s="362"/>
      <c r="AS218" s="362"/>
      <c r="AT218" s="362"/>
      <c r="AU218" s="362"/>
    </row>
    <row r="219" ht="29.05" customHeight="1">
      <c r="AK219" t="s" s="264">
        <v>363</v>
      </c>
      <c r="AL219" s="360"/>
      <c r="AM219" s="361"/>
      <c r="AN219" s="361"/>
      <c r="AO219" s="361"/>
      <c r="AP219" s="362"/>
      <c r="AQ219" s="362"/>
      <c r="AR219" s="362"/>
      <c r="AS219" s="362"/>
      <c r="AT219" s="362"/>
      <c r="AU219" s="362"/>
    </row>
    <row r="220" ht="29.05" customHeight="1">
      <c r="AK220" t="s" s="255">
        <v>365</v>
      </c>
      <c r="AL220" s="360"/>
      <c r="AM220" s="361"/>
      <c r="AN220" s="361"/>
      <c r="AO220" s="361"/>
      <c r="AP220" s="362"/>
      <c r="AQ220" s="362"/>
      <c r="AR220" s="362"/>
      <c r="AS220" s="362"/>
      <c r="AT220" s="362"/>
      <c r="AU220" s="362"/>
    </row>
    <row r="221" ht="29.05" customHeight="1">
      <c r="AK221" t="s" s="264">
        <v>368</v>
      </c>
      <c r="AL221" s="360"/>
      <c r="AM221" s="361"/>
      <c r="AN221" s="361"/>
      <c r="AO221" s="361"/>
      <c r="AP221" s="362"/>
      <c r="AQ221" s="362"/>
      <c r="AR221" s="362"/>
      <c r="AS221" s="362"/>
      <c r="AT221" s="362"/>
      <c r="AU221" s="362"/>
    </row>
    <row r="222" ht="29.05" customHeight="1">
      <c r="AK222" t="s" s="264">
        <v>371</v>
      </c>
      <c r="AL222" s="360"/>
      <c r="AM222" s="361"/>
      <c r="AN222" s="361"/>
      <c r="AO222" s="361"/>
      <c r="AP222" s="362"/>
      <c r="AQ222" s="362"/>
      <c r="AR222" s="362"/>
      <c r="AS222" s="362"/>
      <c r="AT222" s="362"/>
      <c r="AU222" s="362"/>
    </row>
    <row r="223" ht="29.05" customHeight="1">
      <c r="AK223" t="s" s="364">
        <v>102</v>
      </c>
      <c r="AL223" s="360"/>
      <c r="AM223" s="361"/>
      <c r="AN223" s="361"/>
      <c r="AO223" s="361"/>
      <c r="AP223" s="362"/>
      <c r="AQ223" s="362"/>
      <c r="AR223" s="362"/>
      <c r="AS223" s="362"/>
      <c r="AT223" s="362"/>
      <c r="AU223" s="362"/>
    </row>
    <row r="224" ht="29.05" customHeight="1">
      <c r="AK224" t="s" s="364">
        <v>102</v>
      </c>
      <c r="AL224" s="360"/>
      <c r="AM224" s="361"/>
      <c r="AN224" s="361"/>
      <c r="AO224" s="361"/>
      <c r="AP224" s="362"/>
      <c r="AQ224" s="362"/>
      <c r="AR224" s="362"/>
      <c r="AS224" s="362"/>
      <c r="AT224" s="365"/>
      <c r="AU224" s="365"/>
    </row>
    <row r="225" ht="29.05" customHeight="1">
      <c r="AK225" t="s" s="366">
        <v>30</v>
      </c>
      <c r="AL225" s="367"/>
      <c r="AM225" s="368"/>
      <c r="AN225" s="369" cm="1">
        <f t="array" ref="AN225">SUM(AN176:AN224)</f>
        <v>0</v>
      </c>
      <c r="AO225" s="368"/>
      <c r="AP225" s="368"/>
      <c r="AQ225" s="368"/>
      <c r="AR225" s="368"/>
      <c r="AS225" s="368"/>
      <c r="AT225" s="368"/>
      <c r="AU225" s="368"/>
    </row>
    <row r="227" ht="27.65" customHeight="1">
      <c r="AV227" t="s" s="2">
        <v>76</v>
      </c>
      <c r="AW227" s="2"/>
      <c r="AX227" s="2"/>
      <c r="AY227" s="2"/>
      <c r="AZ227" s="2"/>
      <c r="BA227" s="2"/>
      <c r="BB227" s="2"/>
      <c r="BC227" s="2"/>
      <c r="BD227" s="2"/>
      <c r="BE227" s="2"/>
    </row>
    <row r="228" ht="42.65" customHeight="1">
      <c r="AV228" s="371"/>
      <c r="AW228" t="s" s="372">
        <v>327</v>
      </c>
      <c r="AX228" t="s" s="372">
        <v>328</v>
      </c>
      <c r="AY228" t="s" s="372">
        <v>329</v>
      </c>
      <c r="AZ228" t="s" s="372">
        <v>330</v>
      </c>
      <c r="BA228" t="s" s="372">
        <v>331</v>
      </c>
      <c r="BB228" t="s" s="372">
        <v>332</v>
      </c>
      <c r="BC228" t="s" s="372">
        <v>53</v>
      </c>
      <c r="BD228" t="s" s="372">
        <v>67</v>
      </c>
      <c r="BE228" t="s" s="372">
        <v>160</v>
      </c>
    </row>
    <row r="229" ht="26.8" customHeight="1">
      <c r="AV229" t="s" s="373">
        <v>35</v>
      </c>
      <c r="AW229" s="374"/>
      <c r="AX229" s="335">
        <v>1</v>
      </c>
      <c r="AY229" s="375"/>
      <c r="AZ229" s="375"/>
      <c r="BA229" s="375"/>
      <c r="BB229" s="375"/>
      <c r="BC229" s="376" cm="1">
        <f t="array" ref="BC229">SUM(AW229:BB229)</f>
        <v>1</v>
      </c>
      <c r="BD229" s="377"/>
      <c r="BE229" s="377"/>
    </row>
    <row r="230" ht="26.55" customHeight="1">
      <c r="AV230" t="s" s="364">
        <v>47</v>
      </c>
      <c r="AW230" s="345">
        <v>1</v>
      </c>
      <c r="AX230" s="339">
        <v>1</v>
      </c>
      <c r="AY230" s="378"/>
      <c r="AZ230" s="378"/>
      <c r="BA230" s="378"/>
      <c r="BB230" s="339">
        <v>1</v>
      </c>
      <c r="BC230" s="379" cm="1">
        <f t="array" ref="BC230">SUM(AW230:BB230)</f>
        <v>3</v>
      </c>
      <c r="BD230" s="380"/>
      <c r="BE230" s="380"/>
    </row>
    <row r="231" ht="26.55" customHeight="1">
      <c r="AV231" t="s" s="364">
        <v>10</v>
      </c>
      <c r="AW231" s="342">
        <v>1</v>
      </c>
      <c r="AX231" s="343">
        <v>1</v>
      </c>
      <c r="AY231" s="343">
        <v>1</v>
      </c>
      <c r="AZ231" s="343">
        <v>1</v>
      </c>
      <c r="BA231" s="378"/>
      <c r="BB231" s="378"/>
      <c r="BC231" s="379" cm="1">
        <f t="array" ref="BC231">SUM(AW231:BB231)</f>
        <v>4</v>
      </c>
      <c r="BD231" s="380"/>
      <c r="BE231" s="380"/>
    </row>
    <row r="232" ht="26.55" customHeight="1">
      <c r="AV232" t="s" s="364">
        <v>32</v>
      </c>
      <c r="AW232" s="381"/>
      <c r="AX232" s="378"/>
      <c r="AY232" s="339">
        <v>1</v>
      </c>
      <c r="AZ232" s="382"/>
      <c r="BA232" s="378"/>
      <c r="BB232" s="378"/>
      <c r="BC232" s="379" cm="1">
        <f t="array" ref="BC232">SUM(AW232:BB232)</f>
        <v>1</v>
      </c>
      <c r="BD232" s="380"/>
      <c r="BE232" s="380"/>
    </row>
    <row r="233" ht="26.55" customHeight="1">
      <c r="AV233" t="s" s="364">
        <v>16</v>
      </c>
      <c r="AW233" s="345">
        <v>1</v>
      </c>
      <c r="AX233" s="378"/>
      <c r="AY233" s="339">
        <v>1</v>
      </c>
      <c r="AZ233" s="339">
        <v>1</v>
      </c>
      <c r="BA233" s="378"/>
      <c r="BB233" s="378"/>
      <c r="BC233" s="379" cm="1">
        <f t="array" ref="BC233">SUM(AW233:BB233)</f>
        <v>3</v>
      </c>
      <c r="BD233" s="380"/>
      <c r="BE233" s="380"/>
    </row>
    <row r="234" ht="26.55" customHeight="1">
      <c r="AV234" t="s" s="364">
        <v>18</v>
      </c>
      <c r="AW234" s="381"/>
      <c r="AX234" s="378"/>
      <c r="AY234" s="382"/>
      <c r="AZ234" s="378"/>
      <c r="BA234" s="378"/>
      <c r="BB234" s="378"/>
      <c r="BC234" s="379" cm="1">
        <f t="array" ref="BC234">SUM(AW234:BB234)</f>
        <v>0</v>
      </c>
      <c r="BD234" s="380"/>
      <c r="BE234" s="380"/>
    </row>
    <row r="235" ht="26.55" customHeight="1">
      <c r="AV235" t="s" s="364">
        <v>287</v>
      </c>
      <c r="AW235" s="381"/>
      <c r="AX235" s="378"/>
      <c r="AY235" s="378"/>
      <c r="AZ235" s="378"/>
      <c r="BA235" s="378"/>
      <c r="BB235" s="378"/>
      <c r="BC235" s="379" cm="1">
        <f t="array" ref="BC235">SUM(AW235:BB235)</f>
        <v>0</v>
      </c>
      <c r="BD235" s="380"/>
      <c r="BE235" s="380"/>
    </row>
    <row r="236" ht="26.55" customHeight="1">
      <c r="AV236" t="s" s="364">
        <v>45</v>
      </c>
      <c r="AW236" s="381"/>
      <c r="AX236" s="339">
        <v>1</v>
      </c>
      <c r="AY236" s="339">
        <v>1</v>
      </c>
      <c r="AZ236" s="339">
        <v>1</v>
      </c>
      <c r="BA236" s="378"/>
      <c r="BB236" s="378"/>
      <c r="BC236" s="379" cm="1">
        <f t="array" ref="BC236">SUM(AW236:BB236)</f>
        <v>3</v>
      </c>
      <c r="BD236" s="380"/>
      <c r="BE236" s="380"/>
    </row>
    <row r="237" ht="26.55" customHeight="1">
      <c r="AV237" t="s" s="364">
        <v>154</v>
      </c>
      <c r="AW237" s="345">
        <v>1</v>
      </c>
      <c r="AX237" s="378"/>
      <c r="AY237" s="339">
        <v>1</v>
      </c>
      <c r="AZ237" s="378"/>
      <c r="BA237" s="339">
        <v>1</v>
      </c>
      <c r="BB237" s="378"/>
      <c r="BC237" s="379" cm="1">
        <f t="array" ref="BC237">SUM(AW237:BB237)</f>
        <v>3</v>
      </c>
      <c r="BD237" s="380"/>
      <c r="BE237" s="380"/>
    </row>
    <row r="238" ht="26.55" customHeight="1">
      <c r="AV238" t="s" s="364">
        <v>257</v>
      </c>
      <c r="AW238" s="345">
        <v>1</v>
      </c>
      <c r="AX238" s="378"/>
      <c r="AY238" s="339">
        <v>1</v>
      </c>
      <c r="AZ238" s="339">
        <v>1</v>
      </c>
      <c r="BA238" s="339">
        <v>1</v>
      </c>
      <c r="BB238" s="378"/>
      <c r="BC238" s="379" cm="1">
        <f t="array" ref="BC238">SUM(AW238:BB238)</f>
        <v>4</v>
      </c>
      <c r="BD238" s="380"/>
      <c r="BE238" s="380"/>
    </row>
    <row r="239" ht="26.55" customHeight="1">
      <c r="AV239" t="s" s="364">
        <v>391</v>
      </c>
      <c r="AW239" s="345">
        <v>1</v>
      </c>
      <c r="AX239" s="378"/>
      <c r="AY239" s="339">
        <v>1</v>
      </c>
      <c r="AZ239" s="339">
        <v>1</v>
      </c>
      <c r="BA239" s="378"/>
      <c r="BB239" s="378"/>
      <c r="BC239" s="379" cm="1">
        <f t="array" ref="BC239">SUM(AW239:BB239)</f>
        <v>3</v>
      </c>
      <c r="BD239" s="380"/>
      <c r="BE239" s="380"/>
    </row>
    <row r="240" ht="26.55" customHeight="1">
      <c r="AV240" t="s" s="364">
        <v>393</v>
      </c>
      <c r="AW240" s="381"/>
      <c r="AX240" s="378"/>
      <c r="AY240" s="378"/>
      <c r="AZ240" s="382"/>
      <c r="BA240" s="378"/>
      <c r="BB240" s="378"/>
      <c r="BC240" s="379" cm="1">
        <f t="array" ref="BC240">SUM(AW240:BB240)</f>
        <v>0</v>
      </c>
      <c r="BD240" s="380"/>
      <c r="BE240" s="380"/>
    </row>
    <row r="241" ht="26.55" customHeight="1">
      <c r="AV241" t="s" s="364">
        <v>395</v>
      </c>
      <c r="AW241" s="381"/>
      <c r="AX241" s="378"/>
      <c r="AY241" s="378"/>
      <c r="AZ241" s="378"/>
      <c r="BA241" s="378"/>
      <c r="BB241" s="378"/>
      <c r="BC241" s="379" cm="1">
        <f t="array" ref="BC241">SUM(AW241:BB241)</f>
        <v>0</v>
      </c>
      <c r="BD241" s="380"/>
      <c r="BE241" s="380"/>
    </row>
    <row r="242" ht="26.55" customHeight="1">
      <c r="AV242" t="s" s="364">
        <v>155</v>
      </c>
      <c r="AW242" s="381"/>
      <c r="AX242" s="339">
        <v>1</v>
      </c>
      <c r="AY242" s="339">
        <v>1</v>
      </c>
      <c r="AZ242" s="339">
        <v>1</v>
      </c>
      <c r="BA242" s="378"/>
      <c r="BB242" s="378"/>
      <c r="BC242" s="379" cm="1">
        <f t="array" ref="BC242">SUM(AW242:BB242)</f>
        <v>3</v>
      </c>
      <c r="BD242" s="380"/>
      <c r="BE242" s="380"/>
    </row>
    <row r="243" ht="26.55" customHeight="1">
      <c r="AV243" t="s" s="364">
        <v>37</v>
      </c>
      <c r="AW243" s="342">
        <v>1</v>
      </c>
      <c r="AX243" s="343">
        <v>1</v>
      </c>
      <c r="AY243" s="343">
        <v>1</v>
      </c>
      <c r="AZ243" s="382"/>
      <c r="BA243" s="343">
        <v>1</v>
      </c>
      <c r="BB243" s="378"/>
      <c r="BC243" s="379" cm="1">
        <f t="array" ref="BC243">SUM(AW243:BB243)</f>
        <v>4</v>
      </c>
      <c r="BD243" s="380"/>
      <c r="BE243" s="380"/>
    </row>
    <row r="244" ht="26.55" customHeight="1">
      <c r="AV244" t="s" s="364">
        <v>19</v>
      </c>
      <c r="AW244" s="381"/>
      <c r="AX244" s="378"/>
      <c r="AY244" s="378"/>
      <c r="AZ244" s="382"/>
      <c r="BA244" s="378"/>
      <c r="BB244" s="378"/>
      <c r="BC244" s="379" cm="1">
        <f t="array" ref="BC244">SUM(AW244:BB244)</f>
        <v>0</v>
      </c>
      <c r="BD244" s="380"/>
      <c r="BE244" s="380"/>
    </row>
    <row r="245" ht="26.55" customHeight="1">
      <c r="AV245" t="s" s="364">
        <v>239</v>
      </c>
      <c r="AW245" s="381"/>
      <c r="AX245" s="378"/>
      <c r="AY245" s="378"/>
      <c r="AZ245" s="382"/>
      <c r="BA245" s="378"/>
      <c r="BB245" s="378"/>
      <c r="BC245" s="379" cm="1">
        <f t="array" ref="BC245">SUM(AW245:BB245)</f>
        <v>0</v>
      </c>
      <c r="BD245" s="380"/>
      <c r="BE245" s="380"/>
    </row>
    <row r="246" ht="26.55" customHeight="1">
      <c r="AV246" t="s" s="364">
        <v>262</v>
      </c>
      <c r="AW246" s="345">
        <v>1</v>
      </c>
      <c r="AX246" s="339">
        <v>1</v>
      </c>
      <c r="AY246" s="378"/>
      <c r="AZ246" s="339">
        <v>1</v>
      </c>
      <c r="BA246" s="339">
        <v>1</v>
      </c>
      <c r="BB246" s="378"/>
      <c r="BC246" s="379" cm="1">
        <f t="array" ref="BC246">SUM(AW246:BB246)</f>
        <v>4</v>
      </c>
      <c r="BD246" s="380"/>
      <c r="BE246" s="380"/>
    </row>
    <row r="247" ht="31.9" customHeight="1">
      <c r="AV247" t="s" s="364">
        <v>265</v>
      </c>
      <c r="AW247" s="345">
        <v>1</v>
      </c>
      <c r="AX247" s="378"/>
      <c r="AY247" s="339">
        <v>1</v>
      </c>
      <c r="AZ247" s="339">
        <v>1</v>
      </c>
      <c r="BA247" s="339">
        <v>1</v>
      </c>
      <c r="BB247" s="378"/>
      <c r="BC247" s="379" cm="1">
        <f t="array" ref="BC247">SUM(AW247:BB247)</f>
        <v>4</v>
      </c>
      <c r="BD247" s="378"/>
      <c r="BE247" s="378"/>
    </row>
    <row r="248" ht="23.75" customHeight="1">
      <c r="AV248" t="s" s="364">
        <v>250</v>
      </c>
      <c r="AW248" s="345">
        <v>1</v>
      </c>
      <c r="AX248" s="339">
        <v>1</v>
      </c>
      <c r="AY248" s="339">
        <v>1</v>
      </c>
      <c r="AZ248" s="339">
        <v>1</v>
      </c>
      <c r="BA248" s="339">
        <v>1</v>
      </c>
      <c r="BB248" s="378"/>
      <c r="BC248" s="379" cm="1">
        <f t="array" ref="BC248">SUM(AW248:BB248)</f>
        <v>5</v>
      </c>
      <c r="BD248" s="378"/>
      <c r="BE248" s="378"/>
    </row>
    <row r="249" ht="23.75" customHeight="1">
      <c r="AV249" t="s" s="364">
        <v>268</v>
      </c>
      <c r="AW249" s="381"/>
      <c r="AX249" s="378"/>
      <c r="AY249" s="378"/>
      <c r="AZ249" s="382"/>
      <c r="BA249" s="378"/>
      <c r="BB249" s="378"/>
      <c r="BC249" s="379" cm="1">
        <f t="array" ref="BC249">SUM(AW249:BB249)</f>
        <v>0</v>
      </c>
      <c r="BD249" s="378"/>
      <c r="BE249" s="378"/>
    </row>
    <row r="250" ht="23.75" customHeight="1">
      <c r="AV250" t="s" s="364">
        <v>156</v>
      </c>
      <c r="AW250" s="345">
        <v>1</v>
      </c>
      <c r="AX250" s="339">
        <v>1</v>
      </c>
      <c r="AY250" s="378"/>
      <c r="AZ250" s="339">
        <v>1</v>
      </c>
      <c r="BA250" s="339">
        <v>1</v>
      </c>
      <c r="BB250" s="378"/>
      <c r="BC250" s="379" cm="1">
        <f t="array" ref="BC250">SUM(AW250:BB250)</f>
        <v>4</v>
      </c>
      <c r="BD250" s="378"/>
      <c r="BE250" s="378"/>
    </row>
    <row r="251" ht="26.55" customHeight="1">
      <c r="AV251" t="s" s="364">
        <v>259</v>
      </c>
      <c r="AW251" s="381"/>
      <c r="AX251" s="378"/>
      <c r="AY251" s="378"/>
      <c r="AZ251" s="382"/>
      <c r="BA251" s="378"/>
      <c r="BB251" s="378"/>
      <c r="BC251" s="379" cm="1">
        <f t="array" ref="BC251">SUM(AW251:BB251)</f>
        <v>0</v>
      </c>
      <c r="BD251" s="380"/>
      <c r="BE251" s="380"/>
    </row>
    <row r="252" ht="26.55" customHeight="1">
      <c r="AV252" t="s" s="364">
        <v>274</v>
      </c>
      <c r="AW252" s="381"/>
      <c r="AX252" s="378"/>
      <c r="AY252" s="378"/>
      <c r="AZ252" s="382"/>
      <c r="BA252" s="378"/>
      <c r="BB252" s="378"/>
      <c r="BC252" s="379" cm="1">
        <f t="array" ref="BC252">SUM(AW252:BB252)</f>
        <v>0</v>
      </c>
      <c r="BD252" s="380"/>
      <c r="BE252" s="380"/>
    </row>
    <row r="253" ht="26.55" customHeight="1">
      <c r="AV253" t="s" s="364">
        <v>48</v>
      </c>
      <c r="AW253" s="346">
        <v>1</v>
      </c>
      <c r="AX253" s="378"/>
      <c r="AY253" s="378"/>
      <c r="AZ253" s="382"/>
      <c r="BA253" s="378"/>
      <c r="BB253" s="378"/>
      <c r="BC253" s="379" cm="1">
        <f t="array" ref="BC253">SUM(AW253:BB253)</f>
        <v>1</v>
      </c>
      <c r="BD253" s="380"/>
      <c r="BE253" s="380"/>
    </row>
    <row r="254" ht="26.55" customHeight="1">
      <c r="AV254" t="s" s="364">
        <v>49</v>
      </c>
      <c r="AW254" s="346">
        <v>1</v>
      </c>
      <c r="AX254" s="378"/>
      <c r="AY254" s="378"/>
      <c r="AZ254" s="382"/>
      <c r="BA254" s="378"/>
      <c r="BB254" s="378"/>
      <c r="BC254" s="379" cm="1">
        <f t="array" ref="BC254">SUM(AW254:BB254)</f>
        <v>1</v>
      </c>
      <c r="BD254" s="380"/>
      <c r="BE254" s="380"/>
    </row>
    <row r="255" ht="26.55" customHeight="1">
      <c r="AV255" t="s" s="364">
        <v>50</v>
      </c>
      <c r="AW255" s="381"/>
      <c r="AX255" s="378"/>
      <c r="AY255" s="378"/>
      <c r="AZ255" s="378"/>
      <c r="BA255" s="378"/>
      <c r="BB255" s="378"/>
      <c r="BC255" s="379" cm="1">
        <f t="array" ref="BC255">SUM(AW255:BB255)</f>
        <v>0</v>
      </c>
      <c r="BD255" s="380"/>
      <c r="BE255" s="380"/>
    </row>
    <row r="256" ht="26.55" customHeight="1">
      <c r="AV256" t="s" s="364">
        <v>51</v>
      </c>
      <c r="AW256" s="381"/>
      <c r="AX256" s="378"/>
      <c r="AY256" s="378"/>
      <c r="AZ256" s="382"/>
      <c r="BA256" s="378"/>
      <c r="BB256" s="378"/>
      <c r="BC256" s="379" cm="1">
        <f t="array" ref="BC256">SUM(AW256:BB256)</f>
        <v>0</v>
      </c>
      <c r="BD256" s="380"/>
      <c r="BE256" s="380"/>
    </row>
    <row r="257" ht="26.55" customHeight="1">
      <c r="AV257" t="s" s="364">
        <v>52</v>
      </c>
      <c r="AW257" s="381"/>
      <c r="AX257" s="378"/>
      <c r="AY257" s="378"/>
      <c r="AZ257" s="378"/>
      <c r="BA257" s="378"/>
      <c r="BB257" s="378"/>
      <c r="BC257" s="379" cm="1">
        <f t="array" ref="BC257">SUM(AW257:BB257)</f>
        <v>0</v>
      </c>
      <c r="BD257" s="380"/>
      <c r="BE257" s="380"/>
    </row>
    <row r="258" ht="26.55" customHeight="1">
      <c r="AV258" t="s" s="364">
        <v>115</v>
      </c>
      <c r="AW258" s="381"/>
      <c r="AX258" s="378"/>
      <c r="AY258" s="378"/>
      <c r="AZ258" s="382"/>
      <c r="BA258" s="378"/>
      <c r="BB258" s="378"/>
      <c r="BC258" s="379" cm="1">
        <f t="array" ref="BC258">SUM(AW258:BB258)</f>
        <v>0</v>
      </c>
      <c r="BD258" s="380"/>
      <c r="BE258" s="380"/>
    </row>
    <row r="259" ht="26.55" customHeight="1">
      <c r="AV259" t="s" s="364">
        <v>197</v>
      </c>
      <c r="AW259" s="381"/>
      <c r="AX259" s="378"/>
      <c r="AY259" s="378"/>
      <c r="AZ259" s="382"/>
      <c r="BA259" s="378"/>
      <c r="BB259" s="378"/>
      <c r="BC259" s="379" cm="1">
        <f t="array" ref="BC259">SUM(AW259:BB259)</f>
        <v>0</v>
      </c>
      <c r="BD259" s="380"/>
      <c r="BE259" s="380"/>
    </row>
    <row r="260" ht="26.55" customHeight="1">
      <c r="AV260" t="s" s="364">
        <v>46</v>
      </c>
      <c r="AW260" s="381"/>
      <c r="AX260" s="378"/>
      <c r="AY260" s="339">
        <v>1</v>
      </c>
      <c r="AZ260" s="382"/>
      <c r="BA260" s="378"/>
      <c r="BB260" s="378"/>
      <c r="BC260" s="379" cm="1">
        <f t="array" ref="BC260">SUM(AW260:BB260)</f>
        <v>1</v>
      </c>
      <c r="BD260" s="380"/>
      <c r="BE260" s="380"/>
    </row>
    <row r="261" ht="26.55" customHeight="1">
      <c r="AV261" t="s" s="364">
        <v>191</v>
      </c>
      <c r="AW261" s="381"/>
      <c r="AX261" s="339">
        <v>1</v>
      </c>
      <c r="AY261" s="339">
        <v>1</v>
      </c>
      <c r="AZ261" s="339">
        <v>1</v>
      </c>
      <c r="BA261" s="378"/>
      <c r="BB261" s="378"/>
      <c r="BC261" s="379" cm="1">
        <f t="array" ref="BC261">SUM(AW261:BB261)</f>
        <v>3</v>
      </c>
      <c r="BD261" s="380"/>
      <c r="BE261" s="380"/>
    </row>
    <row r="262" ht="26.55" customHeight="1">
      <c r="AV262" t="s" s="364">
        <v>109</v>
      </c>
      <c r="AW262" s="381"/>
      <c r="AX262" s="378"/>
      <c r="AY262" s="378"/>
      <c r="AZ262" s="378"/>
      <c r="BA262" s="378"/>
      <c r="BB262" s="378"/>
      <c r="BC262" s="379" cm="1">
        <f t="array" ref="BC262">SUM(AW262:BB262)</f>
        <v>0</v>
      </c>
      <c r="BD262" s="380"/>
      <c r="BE262" s="380"/>
    </row>
    <row r="263" ht="26.55" customHeight="1">
      <c r="AV263" t="s" s="364">
        <v>270</v>
      </c>
      <c r="AW263" s="381"/>
      <c r="AX263" s="378"/>
      <c r="AY263" s="378"/>
      <c r="AZ263" s="382"/>
      <c r="BA263" s="378"/>
      <c r="BB263" s="378"/>
      <c r="BC263" s="379" cm="1">
        <f t="array" ref="BC263">SUM(AW263:BB263)</f>
        <v>0</v>
      </c>
      <c r="BD263" s="380"/>
      <c r="BE263" s="380"/>
    </row>
    <row r="264" ht="26.55" customHeight="1">
      <c r="AV264" t="s" s="364">
        <v>272</v>
      </c>
      <c r="AW264" s="381"/>
      <c r="AX264" s="378"/>
      <c r="AY264" s="378"/>
      <c r="AZ264" s="382"/>
      <c r="BA264" s="378"/>
      <c r="BB264" s="378"/>
      <c r="BC264" s="379" cm="1">
        <f t="array" ref="BC264">SUM(AW264:BB264)</f>
        <v>0</v>
      </c>
      <c r="BD264" s="380"/>
      <c r="BE264" s="380"/>
    </row>
    <row r="265" ht="26.55" customHeight="1">
      <c r="AV265" t="s" s="364">
        <v>319</v>
      </c>
      <c r="AW265" s="345">
        <v>1</v>
      </c>
      <c r="AX265" s="339">
        <v>1</v>
      </c>
      <c r="AY265" s="339">
        <v>1</v>
      </c>
      <c r="AZ265" s="382"/>
      <c r="BA265" s="378"/>
      <c r="BB265" s="378"/>
      <c r="BC265" s="379" cm="1">
        <f t="array" ref="BC265">SUM(AW265:BB265)</f>
        <v>3</v>
      </c>
      <c r="BD265" s="380"/>
      <c r="BE265" s="380"/>
    </row>
    <row r="266" ht="26.55" customHeight="1">
      <c r="AV266" t="s" s="364">
        <v>352</v>
      </c>
      <c r="AW266" s="345">
        <v>1</v>
      </c>
      <c r="AX266" s="378"/>
      <c r="AY266" s="339">
        <v>1</v>
      </c>
      <c r="AZ266" s="339">
        <v>1</v>
      </c>
      <c r="BA266" s="378"/>
      <c r="BB266" s="347">
        <v>1</v>
      </c>
      <c r="BC266" s="379" cm="1">
        <f t="array" ref="BC266">SUM(AW266:BB266)</f>
        <v>4</v>
      </c>
      <c r="BD266" s="380"/>
      <c r="BE266" s="380"/>
    </row>
    <row r="267" ht="26.55" customHeight="1">
      <c r="AV267" t="s" s="364">
        <v>349</v>
      </c>
      <c r="AW267" s="345">
        <v>1</v>
      </c>
      <c r="AX267" s="339">
        <v>1</v>
      </c>
      <c r="AY267" s="339">
        <v>1</v>
      </c>
      <c r="AZ267" s="339">
        <v>1</v>
      </c>
      <c r="BA267" s="378"/>
      <c r="BB267" s="339">
        <v>1</v>
      </c>
      <c r="BC267" s="379" cm="1">
        <f t="array" ref="BC267">SUM(AW267:BB267)</f>
        <v>5</v>
      </c>
      <c r="BD267" s="380"/>
      <c r="BE267" s="380"/>
    </row>
    <row r="268" ht="26.55" customHeight="1">
      <c r="AV268" t="s" s="264">
        <v>358</v>
      </c>
      <c r="AW268" s="345">
        <v>1</v>
      </c>
      <c r="AX268" s="339">
        <v>1</v>
      </c>
      <c r="AY268" s="339">
        <v>1</v>
      </c>
      <c r="AZ268" s="339">
        <v>1</v>
      </c>
      <c r="BA268" s="378"/>
      <c r="BB268" s="378"/>
      <c r="BC268" s="379" cm="1">
        <f t="array" ref="BC268">SUM(AW268:BB268)</f>
        <v>4</v>
      </c>
      <c r="BD268" s="380"/>
      <c r="BE268" s="380"/>
    </row>
    <row r="269" ht="26.55" customHeight="1">
      <c r="AV269" t="s" s="264">
        <v>359</v>
      </c>
      <c r="AW269" s="345">
        <v>1</v>
      </c>
      <c r="AX269" s="339">
        <v>1</v>
      </c>
      <c r="AY269" s="339">
        <v>1</v>
      </c>
      <c r="AZ269" s="339">
        <v>1</v>
      </c>
      <c r="BA269" s="339">
        <v>1</v>
      </c>
      <c r="BB269" s="378"/>
      <c r="BC269" s="379" cm="1">
        <f t="array" ref="BC269">SUM(AW269:BB269)</f>
        <v>5</v>
      </c>
      <c r="BD269" s="380"/>
      <c r="BE269" s="380"/>
    </row>
    <row r="270" ht="26.55" customHeight="1">
      <c r="AV270" t="s" s="264">
        <v>360</v>
      </c>
      <c r="AW270" s="286"/>
      <c r="AX270" s="378"/>
      <c r="AY270" s="378"/>
      <c r="AZ270" s="382"/>
      <c r="BA270" s="378"/>
      <c r="BB270" s="378"/>
      <c r="BC270" s="379" cm="1">
        <f t="array" ref="BC270">SUM(AW270:BB270)</f>
        <v>0</v>
      </c>
      <c r="BD270" s="380"/>
      <c r="BE270" s="380"/>
    </row>
    <row r="271" ht="26.55" customHeight="1">
      <c r="AV271" t="s" s="264">
        <v>363</v>
      </c>
      <c r="AW271" s="286"/>
      <c r="AX271" s="378"/>
      <c r="AY271" s="378"/>
      <c r="AZ271" s="382"/>
      <c r="BA271" s="378"/>
      <c r="BB271" s="378"/>
      <c r="BC271" s="379" cm="1">
        <f t="array" ref="BC271">SUM(AW271:BB271)</f>
        <v>0</v>
      </c>
      <c r="BD271" s="380"/>
      <c r="BE271" s="380"/>
    </row>
    <row r="272" ht="26.55" customHeight="1">
      <c r="AV272" t="s" s="264">
        <v>355</v>
      </c>
      <c r="AW272" s="286"/>
      <c r="AX272" s="378"/>
      <c r="AY272" s="378"/>
      <c r="AZ272" s="382"/>
      <c r="BA272" s="378"/>
      <c r="BB272" s="378"/>
      <c r="BC272" s="379" cm="1">
        <f t="array" ref="BC272">SUM(AW272:BB272)</f>
        <v>0</v>
      </c>
      <c r="BD272" s="380"/>
      <c r="BE272" s="380"/>
    </row>
    <row r="273" ht="26.55" customHeight="1">
      <c r="AV273" t="s" s="264">
        <v>357</v>
      </c>
      <c r="AW273" s="286"/>
      <c r="AX273" s="378"/>
      <c r="AY273" s="378"/>
      <c r="AZ273" s="382"/>
      <c r="BA273" s="378"/>
      <c r="BB273" s="378"/>
      <c r="BC273" s="379" cm="1">
        <f t="array" ref="BC273">SUM(AW273:BB273)</f>
        <v>0</v>
      </c>
      <c r="BD273" s="380"/>
      <c r="BE273" s="380"/>
    </row>
    <row r="274" ht="26.55" customHeight="1">
      <c r="AV274" t="s" s="255">
        <v>365</v>
      </c>
      <c r="AW274" s="286"/>
      <c r="AX274" s="378"/>
      <c r="AY274" s="378"/>
      <c r="AZ274" s="382"/>
      <c r="BA274" s="378"/>
      <c r="BB274" s="378"/>
      <c r="BC274" s="379" cm="1">
        <f t="array" ref="BC274">SUM(AW274:BB274)</f>
        <v>0</v>
      </c>
      <c r="BD274" s="380"/>
      <c r="BE274" s="380"/>
    </row>
    <row r="275" ht="26.55" customHeight="1">
      <c r="AV275" t="s" s="264">
        <v>368</v>
      </c>
      <c r="AW275" s="286"/>
      <c r="AX275" s="378"/>
      <c r="AY275" s="378"/>
      <c r="AZ275" s="382"/>
      <c r="BA275" s="378"/>
      <c r="BB275" s="378"/>
      <c r="BC275" s="379" cm="1">
        <f t="array" ref="BC275">SUM(AW275:BB275)</f>
        <v>0</v>
      </c>
      <c r="BD275" s="380"/>
      <c r="BE275" s="380"/>
    </row>
    <row r="276" ht="26.55" customHeight="1">
      <c r="AV276" t="s" s="264">
        <v>371</v>
      </c>
      <c r="AW276" s="286"/>
      <c r="AX276" s="378"/>
      <c r="AY276" s="378"/>
      <c r="AZ276" s="382"/>
      <c r="BA276" s="378"/>
      <c r="BB276" s="378"/>
      <c r="BC276" s="379" cm="1">
        <f t="array" ref="BC276">SUM(AW276:BB276)</f>
        <v>0</v>
      </c>
      <c r="BD276" s="380"/>
      <c r="BE276" s="380"/>
    </row>
    <row r="277" ht="26.55" customHeight="1">
      <c r="AV277" t="s" s="364">
        <v>102</v>
      </c>
      <c r="AW277" s="381"/>
      <c r="AX277" s="378"/>
      <c r="AY277" s="378"/>
      <c r="AZ277" s="383">
        <v>1</v>
      </c>
      <c r="BA277" s="383">
        <v>1</v>
      </c>
      <c r="BB277" s="383">
        <v>1</v>
      </c>
      <c r="BC277" s="384" cm="1">
        <f t="array" ref="BC277">SUM(AW277:BB277)</f>
        <v>3</v>
      </c>
      <c r="BD277" s="378"/>
      <c r="BE277" s="378"/>
    </row>
    <row r="278" ht="26.55" customHeight="1">
      <c r="AV278" t="s" s="364">
        <v>102</v>
      </c>
      <c r="AW278" s="381"/>
      <c r="AX278" s="378"/>
      <c r="AY278" s="378"/>
      <c r="AZ278" s="287"/>
      <c r="BA278" s="287"/>
      <c r="BB278" s="385">
        <v>1</v>
      </c>
      <c r="BC278" s="384" cm="1">
        <f t="array" ref="BC278">SUM(AW278:BB278)</f>
        <v>1</v>
      </c>
      <c r="BD278" s="378"/>
      <c r="BE278" s="378"/>
    </row>
    <row r="279" ht="38.95" customHeight="1">
      <c r="AV279" t="s" s="386">
        <v>30</v>
      </c>
      <c r="AW279" s="387" cm="1">
        <f t="array" ref="AW279">SUM(AW229:AW278)</f>
        <v>18</v>
      </c>
      <c r="AX279" s="379" cm="1">
        <f t="array" ref="AX279">SUM(AX229:AX278)</f>
        <v>14</v>
      </c>
      <c r="AY279" s="379" cm="1">
        <f t="array" ref="AY279">SUM(AY229:AY278)</f>
        <v>18</v>
      </c>
      <c r="AZ279" s="379" cm="1">
        <f t="array" ref="AZ279">SUM(AZ229:AZ278)</f>
        <v>16</v>
      </c>
      <c r="BA279" s="379" cm="1">
        <f t="array" ref="BA279">SUM(BA229:BA278)</f>
        <v>9</v>
      </c>
      <c r="BB279" s="379" cm="1">
        <f t="array" ref="BB279">SUM(BB229:BB278)</f>
        <v>5</v>
      </c>
      <c r="BC279" s="379" cm="1">
        <f t="array" ref="BC279">SUM(BC229:BC277)</f>
        <v>79</v>
      </c>
      <c r="BD279" s="378"/>
      <c r="BE279" s="378"/>
    </row>
    <row r="281" ht="27.65" customHeight="1">
      <c r="BF281" t="s" s="2">
        <v>83</v>
      </c>
      <c r="BG281" s="2"/>
      <c r="BH281" s="2"/>
      <c r="BI281" s="2"/>
      <c r="BJ281" s="2"/>
      <c r="BK281" s="2"/>
      <c r="BL281" s="2"/>
      <c r="BM281" s="2"/>
      <c r="BN281" s="2"/>
      <c r="BO281" s="2"/>
      <c r="BP281" s="2"/>
    </row>
    <row r="282" ht="42.9" customHeight="1">
      <c r="BF282" s="371"/>
      <c r="BG282" t="s" s="372">
        <v>327</v>
      </c>
      <c r="BH282" t="s" s="372">
        <v>328</v>
      </c>
      <c r="BI282" t="s" s="372">
        <v>329</v>
      </c>
      <c r="BJ282" t="s" s="372">
        <v>330</v>
      </c>
      <c r="BK282" t="s" s="372">
        <v>331</v>
      </c>
      <c r="BL282" t="s" s="372">
        <v>332</v>
      </c>
      <c r="BM282" t="s" s="354">
        <v>425</v>
      </c>
      <c r="BN282" t="s" s="354">
        <v>68</v>
      </c>
      <c r="BO282" t="s" s="354">
        <v>69</v>
      </c>
      <c r="BP282" t="s" s="354">
        <v>426</v>
      </c>
    </row>
    <row r="283" ht="26.95" customHeight="1">
      <c r="BF283" t="s" s="373">
        <v>35</v>
      </c>
      <c r="BG283" s="374"/>
      <c r="BH283" s="375"/>
      <c r="BI283" s="375"/>
      <c r="BJ283" s="375"/>
      <c r="BK283" s="375"/>
      <c r="BL283" s="375"/>
      <c r="BM283" s="375"/>
      <c r="BN283" s="375"/>
      <c r="BO283" s="377"/>
      <c r="BP283" s="358"/>
    </row>
    <row r="284" ht="26.7" customHeight="1">
      <c r="BF284" t="s" s="364">
        <v>47</v>
      </c>
      <c r="BG284" s="381"/>
      <c r="BH284" s="378"/>
      <c r="BI284" s="378"/>
      <c r="BJ284" s="378"/>
      <c r="BK284" s="378"/>
      <c r="BL284" s="378"/>
      <c r="BM284" s="378"/>
      <c r="BN284" s="378"/>
      <c r="BO284" s="380"/>
      <c r="BP284" s="362"/>
    </row>
    <row r="285" ht="26.7" customHeight="1">
      <c r="BF285" t="s" s="364">
        <v>10</v>
      </c>
      <c r="BG285" s="381"/>
      <c r="BH285" s="378"/>
      <c r="BI285" s="378"/>
      <c r="BJ285" s="378"/>
      <c r="BK285" s="378"/>
      <c r="BL285" s="378"/>
      <c r="BM285" s="378"/>
      <c r="BN285" s="378"/>
      <c r="BO285" s="380"/>
      <c r="BP285" s="362"/>
    </row>
    <row r="286" ht="26.7" customHeight="1">
      <c r="BF286" t="s" s="364">
        <v>32</v>
      </c>
      <c r="BG286" s="381"/>
      <c r="BH286" s="378"/>
      <c r="BI286" s="378"/>
      <c r="BJ286" s="378"/>
      <c r="BK286" s="378"/>
      <c r="BL286" s="378"/>
      <c r="BM286" s="378"/>
      <c r="BN286" s="378"/>
      <c r="BO286" s="380"/>
      <c r="BP286" s="362"/>
    </row>
    <row r="287" ht="26.7" customHeight="1">
      <c r="BF287" t="s" s="364">
        <v>16</v>
      </c>
      <c r="BG287" s="381"/>
      <c r="BH287" s="378"/>
      <c r="BI287" s="378"/>
      <c r="BJ287" s="382"/>
      <c r="BK287" s="378"/>
      <c r="BL287" s="378"/>
      <c r="BM287" s="378"/>
      <c r="BN287" s="378"/>
      <c r="BO287" s="380"/>
      <c r="BP287" s="362"/>
    </row>
    <row r="288" ht="30.4" customHeight="1">
      <c r="BF288" t="s" s="364">
        <v>18</v>
      </c>
      <c r="BG288" s="381"/>
      <c r="BH288" s="378"/>
      <c r="BI288" s="378"/>
      <c r="BJ288" s="378"/>
      <c r="BK288" s="378"/>
      <c r="BL288" s="378"/>
      <c r="BM288" s="378"/>
      <c r="BN288" s="378"/>
      <c r="BO288" s="380"/>
      <c r="BP288" s="362"/>
    </row>
    <row r="289" ht="26.7" customHeight="1">
      <c r="BF289" t="s" s="364">
        <v>287</v>
      </c>
      <c r="BG289" s="381"/>
      <c r="BH289" s="378"/>
      <c r="BI289" s="382"/>
      <c r="BJ289" s="378"/>
      <c r="BK289" s="378"/>
      <c r="BL289" s="378"/>
      <c r="BM289" s="378"/>
      <c r="BN289" s="378"/>
      <c r="BO289" s="380"/>
      <c r="BP289" s="362"/>
    </row>
    <row r="290" ht="26.7" customHeight="1">
      <c r="BF290" t="s" s="364">
        <v>45</v>
      </c>
      <c r="BG290" s="381"/>
      <c r="BH290" s="378"/>
      <c r="BI290" s="378"/>
      <c r="BJ290" s="378"/>
      <c r="BK290" s="378"/>
      <c r="BL290" s="378"/>
      <c r="BM290" s="378"/>
      <c r="BN290" s="378"/>
      <c r="BO290" s="380"/>
      <c r="BP290" s="362"/>
    </row>
    <row r="291" ht="26.7" customHeight="1">
      <c r="BF291" t="s" s="364">
        <v>154</v>
      </c>
      <c r="BG291" s="381"/>
      <c r="BH291" s="378"/>
      <c r="BI291" s="378"/>
      <c r="BJ291" s="378"/>
      <c r="BK291" s="378"/>
      <c r="BL291" s="378"/>
      <c r="BM291" s="378"/>
      <c r="BN291" s="378"/>
      <c r="BO291" s="380"/>
      <c r="BP291" s="362"/>
    </row>
    <row r="292" ht="26.7" customHeight="1">
      <c r="BF292" t="s" s="364">
        <v>257</v>
      </c>
      <c r="BG292" s="381"/>
      <c r="BH292" s="378"/>
      <c r="BI292" s="378"/>
      <c r="BJ292" s="378"/>
      <c r="BK292" s="378"/>
      <c r="BL292" s="378"/>
      <c r="BM292" s="382"/>
      <c r="BN292" s="382"/>
      <c r="BO292" s="389"/>
      <c r="BP292" s="361"/>
    </row>
    <row r="293" ht="26.7" customHeight="1">
      <c r="BF293" t="s" s="364">
        <v>391</v>
      </c>
      <c r="BG293" s="381"/>
      <c r="BH293" s="378"/>
      <c r="BI293" s="378"/>
      <c r="BJ293" s="382"/>
      <c r="BK293" s="378"/>
      <c r="BL293" s="378"/>
      <c r="BM293" s="378"/>
      <c r="BN293" s="378"/>
      <c r="BO293" s="380"/>
      <c r="BP293" s="362"/>
    </row>
    <row r="294" ht="26.7" customHeight="1">
      <c r="BF294" t="s" s="364">
        <v>393</v>
      </c>
      <c r="BG294" s="381"/>
      <c r="BH294" s="378"/>
      <c r="BI294" s="378"/>
      <c r="BJ294" s="382"/>
      <c r="BK294" s="378"/>
      <c r="BL294" s="378"/>
      <c r="BM294" s="378"/>
      <c r="BN294" s="378"/>
      <c r="BO294" s="380"/>
      <c r="BP294" s="362"/>
    </row>
    <row r="295" ht="26.7" customHeight="1">
      <c r="BF295" t="s" s="364">
        <v>395</v>
      </c>
      <c r="BG295" s="381"/>
      <c r="BH295" s="378"/>
      <c r="BI295" s="378"/>
      <c r="BJ295" s="382"/>
      <c r="BK295" s="378"/>
      <c r="BL295" s="378"/>
      <c r="BM295" s="378"/>
      <c r="BN295" s="378"/>
      <c r="BO295" s="380"/>
      <c r="BP295" s="362"/>
    </row>
    <row r="296" ht="26.7" customHeight="1">
      <c r="BF296" t="s" s="364">
        <v>155</v>
      </c>
      <c r="BG296" s="381"/>
      <c r="BH296" s="378"/>
      <c r="BI296" s="378"/>
      <c r="BJ296" s="378"/>
      <c r="BK296" s="378"/>
      <c r="BL296" s="378"/>
      <c r="BM296" s="378"/>
      <c r="BN296" s="378"/>
      <c r="BO296" s="380"/>
      <c r="BP296" s="362"/>
    </row>
    <row r="297" ht="26.7" customHeight="1">
      <c r="BF297" t="s" s="364">
        <v>37</v>
      </c>
      <c r="BG297" s="381"/>
      <c r="BH297" s="378"/>
      <c r="BI297" s="378"/>
      <c r="BJ297" s="382"/>
      <c r="BK297" s="378"/>
      <c r="BL297" s="378"/>
      <c r="BM297" s="378"/>
      <c r="BN297" s="378"/>
      <c r="BO297" s="380"/>
      <c r="BP297" s="362"/>
    </row>
    <row r="298" ht="26.7" customHeight="1">
      <c r="BF298" t="s" s="364">
        <v>19</v>
      </c>
      <c r="BG298" s="381"/>
      <c r="BH298" s="378"/>
      <c r="BI298" s="378"/>
      <c r="BJ298" s="382"/>
      <c r="BK298" s="378"/>
      <c r="BL298" s="378"/>
      <c r="BM298" s="378"/>
      <c r="BN298" s="378"/>
      <c r="BO298" s="380"/>
      <c r="BP298" s="362"/>
    </row>
    <row r="299" ht="26.7" customHeight="1">
      <c r="BF299" t="s" s="364">
        <v>239</v>
      </c>
      <c r="BG299" s="381"/>
      <c r="BH299" s="378"/>
      <c r="BI299" s="378"/>
      <c r="BJ299" s="382"/>
      <c r="BK299" s="378"/>
      <c r="BL299" s="378"/>
      <c r="BM299" s="378"/>
      <c r="BN299" s="378"/>
      <c r="BO299" s="380"/>
      <c r="BP299" s="362"/>
    </row>
    <row r="300" ht="23.35" customHeight="1">
      <c r="BF300" t="s" s="364">
        <v>262</v>
      </c>
      <c r="BG300" s="381"/>
      <c r="BH300" s="378"/>
      <c r="BI300" s="378"/>
      <c r="BJ300" s="382"/>
      <c r="BK300" s="378"/>
      <c r="BL300" s="378"/>
      <c r="BM300" s="378"/>
      <c r="BN300" s="378"/>
      <c r="BO300" s="380"/>
      <c r="BP300" s="362"/>
    </row>
    <row r="301" ht="29.35" customHeight="1">
      <c r="BF301" t="s" s="364">
        <v>265</v>
      </c>
      <c r="BG301" s="381"/>
      <c r="BH301" s="378"/>
      <c r="BI301" s="378"/>
      <c r="BJ301" s="378"/>
      <c r="BK301" s="378"/>
      <c r="BL301" s="378"/>
      <c r="BM301" s="378"/>
      <c r="BN301" s="378"/>
      <c r="BO301" s="380"/>
      <c r="BP301" s="362"/>
    </row>
    <row r="302" ht="23.35" customHeight="1">
      <c r="BF302" t="s" s="364">
        <v>250</v>
      </c>
      <c r="BG302" s="381"/>
      <c r="BH302" s="378"/>
      <c r="BI302" s="378"/>
      <c r="BJ302" s="382"/>
      <c r="BK302" s="378"/>
      <c r="BL302" s="378"/>
      <c r="BM302" s="378"/>
      <c r="BN302" s="378"/>
      <c r="BO302" s="380"/>
      <c r="BP302" s="362"/>
    </row>
    <row r="303" ht="37.35" customHeight="1">
      <c r="BF303" t="s" s="364">
        <v>268</v>
      </c>
      <c r="BG303" s="381"/>
      <c r="BH303" s="378"/>
      <c r="BI303" s="378"/>
      <c r="BJ303" s="378"/>
      <c r="BK303" s="378"/>
      <c r="BL303" s="378"/>
      <c r="BM303" s="378"/>
      <c r="BN303" s="378"/>
      <c r="BO303" s="380"/>
      <c r="BP303" s="362"/>
    </row>
    <row r="304" ht="23.35" customHeight="1">
      <c r="BF304" t="s" s="364">
        <v>156</v>
      </c>
      <c r="BG304" s="381"/>
      <c r="BH304" s="378"/>
      <c r="BI304" s="378"/>
      <c r="BJ304" s="382"/>
      <c r="BK304" s="378"/>
      <c r="BL304" s="378"/>
      <c r="BM304" s="378"/>
      <c r="BN304" s="378"/>
      <c r="BO304" s="380"/>
      <c r="BP304" s="362"/>
    </row>
    <row r="305" ht="26.7" customHeight="1">
      <c r="BF305" t="s" s="364">
        <v>259</v>
      </c>
      <c r="BG305" s="381"/>
      <c r="BH305" s="378"/>
      <c r="BI305" s="378"/>
      <c r="BJ305" s="382"/>
      <c r="BK305" s="378"/>
      <c r="BL305" s="378"/>
      <c r="BM305" s="378"/>
      <c r="BN305" s="378"/>
      <c r="BO305" s="380"/>
      <c r="BP305" s="361"/>
    </row>
    <row r="306" ht="26.7" customHeight="1">
      <c r="BF306" t="s" s="364">
        <v>274</v>
      </c>
      <c r="BG306" s="381"/>
      <c r="BH306" s="378"/>
      <c r="BI306" s="378"/>
      <c r="BJ306" s="382"/>
      <c r="BK306" s="378"/>
      <c r="BL306" s="378"/>
      <c r="BM306" s="378"/>
      <c r="BN306" s="378"/>
      <c r="BO306" s="380"/>
      <c r="BP306" s="362"/>
    </row>
    <row r="307" ht="26.7" customHeight="1">
      <c r="BF307" t="s" s="364">
        <v>48</v>
      </c>
      <c r="BG307" s="381"/>
      <c r="BH307" s="378"/>
      <c r="BI307" s="378"/>
      <c r="BJ307" s="382"/>
      <c r="BK307" s="378"/>
      <c r="BL307" s="378"/>
      <c r="BM307" s="382"/>
      <c r="BN307" s="382"/>
      <c r="BO307" s="389"/>
      <c r="BP307" s="362"/>
    </row>
    <row r="308" ht="26.7" customHeight="1">
      <c r="BF308" t="s" s="364">
        <v>49</v>
      </c>
      <c r="BG308" s="381"/>
      <c r="BH308" s="378"/>
      <c r="BI308" s="378"/>
      <c r="BJ308" s="382"/>
      <c r="BK308" s="378"/>
      <c r="BL308" s="378"/>
      <c r="BM308" s="382"/>
      <c r="BN308" s="382"/>
      <c r="BO308" s="389"/>
      <c r="BP308" s="362"/>
    </row>
    <row r="309" ht="26.7" customHeight="1">
      <c r="BF309" t="s" s="364">
        <v>50</v>
      </c>
      <c r="BG309" s="381"/>
      <c r="BH309" s="378"/>
      <c r="BI309" s="378"/>
      <c r="BJ309" s="382"/>
      <c r="BK309" s="378"/>
      <c r="BL309" s="378"/>
      <c r="BM309" s="382"/>
      <c r="BN309" s="382"/>
      <c r="BO309" s="389"/>
      <c r="BP309" s="362"/>
    </row>
    <row r="310" ht="26.7" customHeight="1">
      <c r="BF310" t="s" s="364">
        <v>51</v>
      </c>
      <c r="BG310" s="381"/>
      <c r="BH310" s="378"/>
      <c r="BI310" s="378"/>
      <c r="BJ310" s="382"/>
      <c r="BK310" s="378"/>
      <c r="BL310" s="378"/>
      <c r="BM310" s="382"/>
      <c r="BN310" s="382"/>
      <c r="BO310" s="389"/>
      <c r="BP310" s="362"/>
    </row>
    <row r="311" ht="26.7" customHeight="1">
      <c r="BF311" t="s" s="364">
        <v>52</v>
      </c>
      <c r="BG311" s="381"/>
      <c r="BH311" s="378"/>
      <c r="BI311" s="378"/>
      <c r="BJ311" s="378"/>
      <c r="BK311" s="378"/>
      <c r="BL311" s="378"/>
      <c r="BM311" s="382"/>
      <c r="BN311" s="382"/>
      <c r="BO311" s="389"/>
      <c r="BP311" s="362"/>
    </row>
    <row r="312" ht="26.7" customHeight="1">
      <c r="BF312" t="s" s="364">
        <v>115</v>
      </c>
      <c r="BG312" s="381"/>
      <c r="BH312" s="378"/>
      <c r="BI312" s="378"/>
      <c r="BJ312" s="378"/>
      <c r="BK312" s="378"/>
      <c r="BL312" s="378"/>
      <c r="BM312" s="382"/>
      <c r="BN312" s="382"/>
      <c r="BO312" s="389"/>
      <c r="BP312" s="362"/>
    </row>
    <row r="313" ht="26.7" customHeight="1">
      <c r="BF313" t="s" s="364">
        <v>197</v>
      </c>
      <c r="BG313" s="381"/>
      <c r="BH313" s="378"/>
      <c r="BI313" s="378"/>
      <c r="BJ313" s="382"/>
      <c r="BK313" s="378"/>
      <c r="BL313" s="378"/>
      <c r="BM313" s="382"/>
      <c r="BN313" s="382"/>
      <c r="BO313" s="389"/>
      <c r="BP313" s="362"/>
    </row>
    <row r="314" ht="26.7" customHeight="1">
      <c r="BF314" t="s" s="364">
        <v>46</v>
      </c>
      <c r="BG314" s="381"/>
      <c r="BH314" s="378"/>
      <c r="BI314" s="378"/>
      <c r="BJ314" s="382"/>
      <c r="BK314" s="378"/>
      <c r="BL314" s="378"/>
      <c r="BM314" s="382"/>
      <c r="BN314" s="382"/>
      <c r="BO314" s="389"/>
      <c r="BP314" s="362"/>
    </row>
    <row r="315" ht="26.7" customHeight="1">
      <c r="BF315" t="s" s="364">
        <v>191</v>
      </c>
      <c r="BG315" s="381"/>
      <c r="BH315" s="378"/>
      <c r="BI315" s="378"/>
      <c r="BJ315" s="382"/>
      <c r="BK315" s="378"/>
      <c r="BL315" s="378"/>
      <c r="BM315" s="382"/>
      <c r="BN315" s="382"/>
      <c r="BO315" s="389"/>
      <c r="BP315" s="362"/>
    </row>
    <row r="316" ht="26.7" customHeight="1">
      <c r="BF316" t="s" s="364">
        <v>109</v>
      </c>
      <c r="BG316" s="381"/>
      <c r="BH316" s="378"/>
      <c r="BI316" s="378"/>
      <c r="BJ316" s="382"/>
      <c r="BK316" s="378"/>
      <c r="BL316" s="378"/>
      <c r="BM316" s="382"/>
      <c r="BN316" s="382"/>
      <c r="BO316" s="389"/>
      <c r="BP316" s="362"/>
    </row>
    <row r="317" ht="26.7" customHeight="1">
      <c r="BF317" t="s" s="364">
        <v>270</v>
      </c>
      <c r="BG317" s="381"/>
      <c r="BH317" s="378"/>
      <c r="BI317" s="378"/>
      <c r="BJ317" s="378"/>
      <c r="BK317" s="378"/>
      <c r="BL317" s="378"/>
      <c r="BM317" s="382"/>
      <c r="BN317" s="382"/>
      <c r="BO317" s="389"/>
      <c r="BP317" s="362"/>
    </row>
    <row r="318" ht="26.7" customHeight="1">
      <c r="BF318" t="s" s="364">
        <v>272</v>
      </c>
      <c r="BG318" s="381"/>
      <c r="BH318" s="378"/>
      <c r="BI318" s="378"/>
      <c r="BJ318" s="378"/>
      <c r="BK318" s="378"/>
      <c r="BL318" s="378"/>
      <c r="BM318" s="382"/>
      <c r="BN318" s="382"/>
      <c r="BO318" s="389"/>
      <c r="BP318" s="362"/>
    </row>
    <row r="319" ht="26.7" customHeight="1">
      <c r="BF319" t="s" s="364">
        <v>319</v>
      </c>
      <c r="BG319" s="381"/>
      <c r="BH319" s="378"/>
      <c r="BI319" s="378"/>
      <c r="BJ319" s="378"/>
      <c r="BK319" s="378"/>
      <c r="BL319" s="378"/>
      <c r="BM319" s="382"/>
      <c r="BN319" s="382"/>
      <c r="BO319" s="389"/>
      <c r="BP319" s="362"/>
    </row>
    <row r="320" ht="26.7" customHeight="1">
      <c r="BF320" t="s" s="364">
        <v>352</v>
      </c>
      <c r="BG320" s="381"/>
      <c r="BH320" s="378"/>
      <c r="BI320" s="378"/>
      <c r="BJ320" s="378"/>
      <c r="BK320" s="378"/>
      <c r="BL320" s="378"/>
      <c r="BM320" s="382"/>
      <c r="BN320" s="382"/>
      <c r="BO320" s="389"/>
      <c r="BP320" s="362"/>
    </row>
    <row r="321" ht="26.7" customHeight="1">
      <c r="BF321" t="s" s="364">
        <v>349</v>
      </c>
      <c r="BG321" s="381"/>
      <c r="BH321" s="378"/>
      <c r="BI321" s="378"/>
      <c r="BJ321" s="378"/>
      <c r="BK321" s="378"/>
      <c r="BL321" s="378"/>
      <c r="BM321" s="382"/>
      <c r="BN321" s="382"/>
      <c r="BO321" s="389"/>
      <c r="BP321" s="362"/>
    </row>
    <row r="322" ht="26.7" customHeight="1">
      <c r="BF322" t="s" s="264">
        <v>358</v>
      </c>
      <c r="BG322" s="381"/>
      <c r="BH322" s="378"/>
      <c r="BI322" s="378"/>
      <c r="BJ322" s="378"/>
      <c r="BK322" s="378"/>
      <c r="BL322" s="378"/>
      <c r="BM322" s="382"/>
      <c r="BN322" s="382"/>
      <c r="BO322" s="389"/>
      <c r="BP322" s="362"/>
    </row>
    <row r="323" ht="26.7" customHeight="1">
      <c r="BF323" t="s" s="264">
        <v>359</v>
      </c>
      <c r="BG323" s="381"/>
      <c r="BH323" s="378"/>
      <c r="BI323" s="378"/>
      <c r="BJ323" s="378"/>
      <c r="BK323" s="378"/>
      <c r="BL323" s="378"/>
      <c r="BM323" s="382"/>
      <c r="BN323" s="382"/>
      <c r="BO323" s="389"/>
      <c r="BP323" s="362"/>
    </row>
    <row r="324" ht="26.7" customHeight="1">
      <c r="BF324" t="s" s="264">
        <v>360</v>
      </c>
      <c r="BG324" s="381"/>
      <c r="BH324" s="378"/>
      <c r="BI324" s="378"/>
      <c r="BJ324" s="378"/>
      <c r="BK324" s="378"/>
      <c r="BL324" s="378"/>
      <c r="BM324" s="382"/>
      <c r="BN324" s="382"/>
      <c r="BO324" s="389"/>
      <c r="BP324" s="362"/>
    </row>
    <row r="325" ht="26.7" customHeight="1">
      <c r="BF325" t="s" s="264">
        <v>363</v>
      </c>
      <c r="BG325" s="381"/>
      <c r="BH325" s="378"/>
      <c r="BI325" s="378"/>
      <c r="BJ325" s="378"/>
      <c r="BK325" s="378"/>
      <c r="BL325" s="378"/>
      <c r="BM325" s="382"/>
      <c r="BN325" s="382"/>
      <c r="BO325" s="389"/>
      <c r="BP325" s="362"/>
    </row>
    <row r="326" ht="26.7" customHeight="1">
      <c r="BF326" t="s" s="255">
        <v>365</v>
      </c>
      <c r="BG326" s="381"/>
      <c r="BH326" s="378"/>
      <c r="BI326" s="378"/>
      <c r="BJ326" s="378"/>
      <c r="BK326" s="378"/>
      <c r="BL326" s="378"/>
      <c r="BM326" s="382"/>
      <c r="BN326" s="382"/>
      <c r="BO326" s="389"/>
      <c r="BP326" s="362"/>
    </row>
    <row r="327" ht="26.7" customHeight="1">
      <c r="BF327" t="s" s="264">
        <v>368</v>
      </c>
      <c r="BG327" s="381"/>
      <c r="BH327" s="378"/>
      <c r="BI327" s="378"/>
      <c r="BJ327" s="378"/>
      <c r="BK327" s="378"/>
      <c r="BL327" s="378"/>
      <c r="BM327" s="382"/>
      <c r="BN327" s="382"/>
      <c r="BO327" s="389"/>
      <c r="BP327" s="362"/>
    </row>
    <row r="328" ht="26.7" customHeight="1">
      <c r="BF328" t="s" s="264">
        <v>371</v>
      </c>
      <c r="BG328" s="381"/>
      <c r="BH328" s="378"/>
      <c r="BI328" s="378"/>
      <c r="BJ328" s="378"/>
      <c r="BK328" s="378"/>
      <c r="BL328" s="378"/>
      <c r="BM328" s="382"/>
      <c r="BN328" s="382"/>
      <c r="BO328" s="389"/>
      <c r="BP328" s="362"/>
    </row>
    <row r="329" ht="26.7" customHeight="1">
      <c r="BF329" t="s" s="364">
        <v>102</v>
      </c>
      <c r="BG329" s="381"/>
      <c r="BH329" s="378"/>
      <c r="BI329" s="378"/>
      <c r="BJ329" s="378"/>
      <c r="BK329" s="378"/>
      <c r="BL329" s="378"/>
      <c r="BM329" s="382"/>
      <c r="BN329" s="382"/>
      <c r="BO329" s="389"/>
      <c r="BP329" s="362"/>
    </row>
    <row r="330" ht="23.75" customHeight="1">
      <c r="BF330" t="s" s="364">
        <v>102</v>
      </c>
      <c r="BG330" s="381"/>
      <c r="BH330" s="378"/>
      <c r="BI330" s="378"/>
      <c r="BJ330" s="378"/>
      <c r="BK330" s="378"/>
      <c r="BL330" s="378"/>
      <c r="BM330" s="380"/>
      <c r="BN330" s="380"/>
      <c r="BO330" s="390"/>
      <c r="BP330" s="365"/>
    </row>
    <row r="331" ht="23.75" customHeight="1">
      <c r="BF331" t="s" s="386">
        <v>30</v>
      </c>
      <c r="BG331" s="387" cm="1">
        <f t="array" ref="BG331">SUM(BG283:BG330)</f>
        <v>0</v>
      </c>
      <c r="BH331" s="379" cm="1">
        <f t="array" ref="BH331">SUM(BH283:BH330)</f>
        <v>0</v>
      </c>
      <c r="BI331" s="379" cm="1">
        <f t="array" ref="BI331">SUM(BI283:BI330)</f>
        <v>0</v>
      </c>
      <c r="BJ331" s="379" cm="1">
        <f t="array" ref="BJ331">SUM(BJ283:BJ330)</f>
        <v>0</v>
      </c>
      <c r="BK331" s="379" cm="1">
        <f t="array" ref="BK331">SUM(BK283:BK330)</f>
        <v>0</v>
      </c>
      <c r="BL331" s="379" cm="1">
        <f t="array" ref="BL331">SUM(BL283:BL330)</f>
        <v>0</v>
      </c>
      <c r="BM331" s="379" cm="1">
        <f t="array" ref="BM331">SUM(BG331:BL331)</f>
        <v>0</v>
      </c>
      <c r="BN331" s="379" cm="1">
        <f t="array" ref="BN331">SUM(BN283:BN330)</f>
        <v>0</v>
      </c>
      <c r="BO331" s="379" cm="1">
        <f t="array" ref="BO331">SUM(BO283:BO330)</f>
        <v>0</v>
      </c>
      <c r="BP331" s="368"/>
    </row>
    <row r="333" ht="27.65" customHeight="1">
      <c r="BQ333" t="s" s="2">
        <v>84</v>
      </c>
      <c r="BR333" s="2"/>
      <c r="BS333" s="2"/>
      <c r="BT333" s="2"/>
      <c r="BU333" s="2"/>
      <c r="BV333" s="2"/>
      <c r="BW333" s="2"/>
      <c r="BX333" s="2"/>
      <c r="BY333" s="2"/>
      <c r="BZ333" s="2"/>
    </row>
    <row r="334" ht="42.3" customHeight="1">
      <c r="BQ334" s="371"/>
      <c r="BR334" t="s" s="372">
        <v>333</v>
      </c>
      <c r="BS334" t="s" s="372">
        <v>334</v>
      </c>
      <c r="BT334" t="s" s="372">
        <v>335</v>
      </c>
      <c r="BU334" t="s" s="372">
        <v>336</v>
      </c>
      <c r="BV334" t="s" s="372">
        <v>337</v>
      </c>
      <c r="BW334" t="s" s="372">
        <v>338</v>
      </c>
      <c r="BX334" t="s" s="372">
        <v>53</v>
      </c>
      <c r="BY334" t="s" s="372">
        <v>67</v>
      </c>
      <c r="BZ334" t="s" s="372">
        <v>160</v>
      </c>
    </row>
    <row r="335" ht="26.6" customHeight="1">
      <c r="BQ335" t="s" s="373">
        <v>35</v>
      </c>
      <c r="BR335" s="374"/>
      <c r="BS335" s="375"/>
      <c r="BT335" s="375"/>
      <c r="BU335" s="375"/>
      <c r="BV335" s="375"/>
      <c r="BW335" s="335">
        <v>1</v>
      </c>
      <c r="BX335" s="376" cm="1">
        <f t="array" ref="BX335">SUM(BR335:BW335)</f>
        <v>1</v>
      </c>
      <c r="BY335" s="377"/>
      <c r="BZ335" s="377"/>
    </row>
    <row r="336" ht="26.35" customHeight="1">
      <c r="BQ336" t="s" s="364">
        <v>47</v>
      </c>
      <c r="BR336" s="381"/>
      <c r="BS336" s="378"/>
      <c r="BT336" s="339">
        <v>1</v>
      </c>
      <c r="BU336" s="339">
        <v>1</v>
      </c>
      <c r="BV336" s="339">
        <v>1</v>
      </c>
      <c r="BW336" s="378"/>
      <c r="BX336" s="379" cm="1">
        <f t="array" ref="BX336">SUM(BR336:BW336)</f>
        <v>3</v>
      </c>
      <c r="BY336" s="380"/>
      <c r="BZ336" s="380"/>
    </row>
    <row r="337" ht="26.35" customHeight="1">
      <c r="BQ337" t="s" s="364">
        <v>10</v>
      </c>
      <c r="BR337" s="381"/>
      <c r="BS337" s="343">
        <v>1</v>
      </c>
      <c r="BT337" s="343">
        <v>1</v>
      </c>
      <c r="BU337" s="343">
        <v>1</v>
      </c>
      <c r="BV337" s="378"/>
      <c r="BW337" s="378"/>
      <c r="BX337" s="379" cm="1">
        <f t="array" ref="BX337">SUM(BR337:BW337)</f>
        <v>3</v>
      </c>
      <c r="BY337" s="380"/>
      <c r="BZ337" s="380"/>
    </row>
    <row r="338" ht="26.35" customHeight="1">
      <c r="BQ338" t="s" s="364">
        <v>32</v>
      </c>
      <c r="BR338" s="381"/>
      <c r="BS338" s="378"/>
      <c r="BT338" s="378"/>
      <c r="BU338" s="382"/>
      <c r="BV338" s="378"/>
      <c r="BW338" s="378"/>
      <c r="BX338" s="379" cm="1">
        <f t="array" ref="BX338">SUM(BR338:BW338)</f>
        <v>0</v>
      </c>
      <c r="BY338" s="380"/>
      <c r="BZ338" s="380"/>
    </row>
    <row r="339" ht="26.35" customHeight="1">
      <c r="BQ339" t="s" s="364">
        <v>16</v>
      </c>
      <c r="BR339" s="381"/>
      <c r="BS339" s="339">
        <v>1</v>
      </c>
      <c r="BT339" s="339">
        <v>1</v>
      </c>
      <c r="BU339" s="339">
        <v>1</v>
      </c>
      <c r="BV339" s="339">
        <v>1</v>
      </c>
      <c r="BW339" s="378"/>
      <c r="BX339" s="379" cm="1">
        <f t="array" ref="BX339">SUM(BR339:BW339)</f>
        <v>4</v>
      </c>
      <c r="BY339" s="380"/>
      <c r="BZ339" s="380"/>
    </row>
    <row r="340" ht="26.55" customHeight="1">
      <c r="BQ340" t="s" s="364">
        <v>18</v>
      </c>
      <c r="BR340" s="381"/>
      <c r="BS340" s="378"/>
      <c r="BT340" s="382"/>
      <c r="BU340" s="378"/>
      <c r="BV340" s="378"/>
      <c r="BW340" s="378"/>
      <c r="BX340" s="379" cm="1">
        <f t="array" ref="BX340">SUM(BR340:BW340)</f>
        <v>0</v>
      </c>
      <c r="BY340" s="380"/>
      <c r="BZ340" s="380"/>
    </row>
    <row r="341" ht="26.35" customHeight="1">
      <c r="BQ341" t="s" s="364">
        <v>287</v>
      </c>
      <c r="BR341" s="381"/>
      <c r="BS341" s="378"/>
      <c r="BT341" s="378"/>
      <c r="BU341" s="378"/>
      <c r="BV341" s="378"/>
      <c r="BW341" s="378"/>
      <c r="BX341" s="379" cm="1">
        <f t="array" ref="BX341">SUM(BR341:BW341)</f>
        <v>0</v>
      </c>
      <c r="BY341" s="380"/>
      <c r="BZ341" s="380"/>
    </row>
    <row r="342" ht="26.35" customHeight="1">
      <c r="BQ342" t="s" s="364">
        <v>45</v>
      </c>
      <c r="BR342" s="381"/>
      <c r="BS342" s="339">
        <v>1</v>
      </c>
      <c r="BT342" s="339">
        <v>1</v>
      </c>
      <c r="BU342" s="339">
        <v>1</v>
      </c>
      <c r="BV342" s="378"/>
      <c r="BW342" s="378"/>
      <c r="BX342" s="379" cm="1">
        <f t="array" ref="BX342">SUM(BR342:BW342)</f>
        <v>3</v>
      </c>
      <c r="BY342" s="380"/>
      <c r="BZ342" s="380"/>
    </row>
    <row r="343" ht="26.35" customHeight="1">
      <c r="BQ343" t="s" s="364">
        <v>154</v>
      </c>
      <c r="BR343" s="381"/>
      <c r="BS343" s="378"/>
      <c r="BT343" s="339">
        <v>1</v>
      </c>
      <c r="BU343" s="378"/>
      <c r="BV343" s="378"/>
      <c r="BW343" s="378"/>
      <c r="BX343" s="379" cm="1">
        <f t="array" ref="BX343">SUM(BR343:BW343)</f>
        <v>1</v>
      </c>
      <c r="BY343" s="380"/>
      <c r="BZ343" s="380"/>
    </row>
    <row r="344" ht="26.35" customHeight="1">
      <c r="BQ344" t="s" s="364">
        <v>257</v>
      </c>
      <c r="BR344" s="345">
        <v>1</v>
      </c>
      <c r="BS344" s="339">
        <v>1</v>
      </c>
      <c r="BT344" s="339">
        <v>1</v>
      </c>
      <c r="BU344" s="339">
        <v>1</v>
      </c>
      <c r="BV344" s="339">
        <v>1</v>
      </c>
      <c r="BW344" s="378"/>
      <c r="BX344" s="379" cm="1">
        <f t="array" ref="BX344">SUM(BR344:BW344)</f>
        <v>5</v>
      </c>
      <c r="BY344" s="380"/>
      <c r="BZ344" s="380"/>
    </row>
    <row r="345" ht="26.35" customHeight="1">
      <c r="BQ345" t="s" s="364">
        <v>391</v>
      </c>
      <c r="BR345" s="381"/>
      <c r="BS345" s="378"/>
      <c r="BT345" s="339">
        <v>1</v>
      </c>
      <c r="BU345" s="382"/>
      <c r="BV345" s="339">
        <v>1</v>
      </c>
      <c r="BW345" s="339">
        <v>1</v>
      </c>
      <c r="BX345" s="379" cm="1">
        <f t="array" ref="BX345">SUM(BR345:BW345)</f>
        <v>3</v>
      </c>
      <c r="BY345" s="380"/>
      <c r="BZ345" s="380"/>
    </row>
    <row r="346" ht="26.35" customHeight="1">
      <c r="BQ346" t="s" s="364">
        <v>393</v>
      </c>
      <c r="BR346" s="381"/>
      <c r="BS346" s="378"/>
      <c r="BT346" s="378"/>
      <c r="BU346" s="382"/>
      <c r="BV346" s="378"/>
      <c r="BW346" s="378"/>
      <c r="BX346" s="379" cm="1">
        <f t="array" ref="BX346">SUM(BR346:BW346)</f>
        <v>0</v>
      </c>
      <c r="BY346" s="380"/>
      <c r="BZ346" s="380"/>
    </row>
    <row r="347" ht="26.35" customHeight="1">
      <c r="BQ347" t="s" s="364">
        <v>395</v>
      </c>
      <c r="BR347" s="381"/>
      <c r="BS347" s="378"/>
      <c r="BT347" s="378"/>
      <c r="BU347" s="378"/>
      <c r="BV347" s="378"/>
      <c r="BW347" s="378"/>
      <c r="BX347" s="379" cm="1">
        <f t="array" ref="BX347">SUM(BR347:BW347)</f>
        <v>0</v>
      </c>
      <c r="BY347" s="380"/>
      <c r="BZ347" s="380"/>
    </row>
    <row r="348" ht="26.35" customHeight="1">
      <c r="BQ348" t="s" s="364">
        <v>155</v>
      </c>
      <c r="BR348" s="345">
        <v>1</v>
      </c>
      <c r="BS348" s="339">
        <v>1</v>
      </c>
      <c r="BT348" s="339">
        <v>1</v>
      </c>
      <c r="BU348" s="382"/>
      <c r="BV348" s="378"/>
      <c r="BW348" s="378"/>
      <c r="BX348" s="379" cm="1">
        <f t="array" ref="BX348">SUM(BR348:BW348)</f>
        <v>3</v>
      </c>
      <c r="BY348" s="380"/>
      <c r="BZ348" s="380"/>
    </row>
    <row r="349" ht="26.35" customHeight="1">
      <c r="BQ349" t="s" s="364">
        <v>37</v>
      </c>
      <c r="BR349" s="381"/>
      <c r="BS349" s="343">
        <v>1</v>
      </c>
      <c r="BT349" s="378"/>
      <c r="BU349" s="382"/>
      <c r="BV349" s="378"/>
      <c r="BW349" s="378"/>
      <c r="BX349" s="379" cm="1">
        <f t="array" ref="BX349">SUM(BR349:BW349)</f>
        <v>1</v>
      </c>
      <c r="BY349" s="380"/>
      <c r="BZ349" s="380"/>
    </row>
    <row r="350" ht="26.35" customHeight="1">
      <c r="BQ350" t="s" s="364">
        <v>19</v>
      </c>
      <c r="BR350" s="381"/>
      <c r="BS350" s="378"/>
      <c r="BT350" s="378"/>
      <c r="BU350" s="382"/>
      <c r="BV350" s="378"/>
      <c r="BW350" s="378"/>
      <c r="BX350" s="379" cm="1">
        <f t="array" ref="BX350">SUM(BR350:BW350)</f>
        <v>0</v>
      </c>
      <c r="BY350" s="380"/>
      <c r="BZ350" s="380"/>
    </row>
    <row r="351" ht="26.35" customHeight="1">
      <c r="BQ351" t="s" s="364">
        <v>239</v>
      </c>
      <c r="BR351" s="381"/>
      <c r="BS351" s="378"/>
      <c r="BT351" s="378"/>
      <c r="BU351" s="382"/>
      <c r="BV351" s="378"/>
      <c r="BW351" s="378"/>
      <c r="BX351" s="379" cm="1">
        <f t="array" ref="BX351">SUM(BR351:BW351)</f>
        <v>0</v>
      </c>
      <c r="BY351" s="380"/>
      <c r="BZ351" s="380"/>
    </row>
    <row r="352" ht="26.35" customHeight="1">
      <c r="BQ352" t="s" s="364">
        <v>262</v>
      </c>
      <c r="BR352" s="381"/>
      <c r="BS352" s="378"/>
      <c r="BT352" s="339">
        <v>1</v>
      </c>
      <c r="BU352" s="378"/>
      <c r="BV352" s="339">
        <v>1</v>
      </c>
      <c r="BW352" s="378"/>
      <c r="BX352" s="379" cm="1">
        <f t="array" ref="BX352">SUM(BR352:BW352)</f>
        <v>2</v>
      </c>
      <c r="BY352" s="380"/>
      <c r="BZ352" s="380"/>
    </row>
    <row r="353" ht="26.35" customHeight="1">
      <c r="BQ353" t="s" s="364">
        <v>265</v>
      </c>
      <c r="BR353" s="345">
        <v>1</v>
      </c>
      <c r="BS353" s="339">
        <v>1</v>
      </c>
      <c r="BT353" s="339">
        <v>1</v>
      </c>
      <c r="BU353" s="382"/>
      <c r="BV353" s="339">
        <v>1</v>
      </c>
      <c r="BW353" s="378"/>
      <c r="BX353" s="379" cm="1">
        <f t="array" ref="BX353">SUM(BR353:BW353)</f>
        <v>4</v>
      </c>
      <c r="BY353" s="380"/>
      <c r="BZ353" s="380"/>
    </row>
    <row r="354" ht="20.7" customHeight="1">
      <c r="BQ354" t="s" s="364">
        <v>250</v>
      </c>
      <c r="BR354" s="345">
        <v>1</v>
      </c>
      <c r="BS354" s="339">
        <v>1</v>
      </c>
      <c r="BT354" s="339">
        <v>1</v>
      </c>
      <c r="BU354" s="339">
        <v>1</v>
      </c>
      <c r="BV354" s="339">
        <v>1</v>
      </c>
      <c r="BW354" s="378"/>
      <c r="BX354" s="379" cm="1">
        <f t="array" ref="BX354">SUM(BR354:BW354)</f>
        <v>5</v>
      </c>
      <c r="BY354" s="380"/>
      <c r="BZ354" s="380"/>
    </row>
    <row r="355" ht="20.7" customHeight="1">
      <c r="BQ355" t="s" s="364">
        <v>268</v>
      </c>
      <c r="BR355" s="381"/>
      <c r="BS355" s="378"/>
      <c r="BT355" s="378"/>
      <c r="BU355" s="382"/>
      <c r="BV355" s="378"/>
      <c r="BW355" s="378"/>
      <c r="BX355" s="379" cm="1">
        <f t="array" ref="BX355">SUM(BR355:BW355)</f>
        <v>0</v>
      </c>
      <c r="BY355" s="380"/>
      <c r="BZ355" s="380"/>
    </row>
    <row r="356" ht="20.7" customHeight="1">
      <c r="BQ356" t="s" s="364">
        <v>156</v>
      </c>
      <c r="BR356" s="381"/>
      <c r="BS356" s="378"/>
      <c r="BT356" s="378"/>
      <c r="BU356" s="382"/>
      <c r="BV356" s="378"/>
      <c r="BW356" s="378"/>
      <c r="BX356" s="379" cm="1">
        <f t="array" ref="BX356">SUM(BR356:BW356)</f>
        <v>0</v>
      </c>
      <c r="BY356" s="380"/>
      <c r="BZ356" s="380"/>
    </row>
    <row r="357" ht="26.35" customHeight="1">
      <c r="BQ357" t="s" s="364">
        <v>259</v>
      </c>
      <c r="BR357" s="381"/>
      <c r="BS357" s="378"/>
      <c r="BT357" s="378"/>
      <c r="BU357" s="382"/>
      <c r="BV357" s="378"/>
      <c r="BW357" s="378"/>
      <c r="BX357" s="379" cm="1">
        <f t="array" ref="BX357">SUM(BR357:BW357)</f>
        <v>0</v>
      </c>
      <c r="BY357" s="380"/>
      <c r="BZ357" s="380"/>
    </row>
    <row r="358" ht="24.9" customHeight="1">
      <c r="BQ358" t="s" s="364">
        <v>274</v>
      </c>
      <c r="BR358" s="381"/>
      <c r="BS358" s="378"/>
      <c r="BT358" s="378"/>
      <c r="BU358" s="382"/>
      <c r="BV358" s="378"/>
      <c r="BW358" s="378"/>
      <c r="BX358" s="379" cm="1">
        <f t="array" ref="BX358">SUM(BR358:BW358)</f>
        <v>0</v>
      </c>
      <c r="BY358" s="380"/>
      <c r="BZ358" s="380"/>
    </row>
    <row r="359" ht="24.9" customHeight="1">
      <c r="BQ359" t="s" s="364">
        <v>48</v>
      </c>
      <c r="BR359" s="381"/>
      <c r="BS359" s="378"/>
      <c r="BT359" s="392">
        <v>1</v>
      </c>
      <c r="BU359" s="382"/>
      <c r="BV359" s="378"/>
      <c r="BW359" s="378"/>
      <c r="BX359" s="379" cm="1">
        <f t="array" ref="BX359">SUM(BR359:BW359)</f>
        <v>1</v>
      </c>
      <c r="BY359" s="380"/>
      <c r="BZ359" s="380"/>
    </row>
    <row r="360" ht="24.9" customHeight="1">
      <c r="BQ360" t="s" s="364">
        <v>49</v>
      </c>
      <c r="BR360" s="381"/>
      <c r="BS360" s="378"/>
      <c r="BT360" s="392">
        <v>1</v>
      </c>
      <c r="BU360" s="382"/>
      <c r="BV360" s="378"/>
      <c r="BW360" s="378"/>
      <c r="BX360" s="379" cm="1">
        <f t="array" ref="BX360">SUM(BR360:BW360)</f>
        <v>1</v>
      </c>
      <c r="BY360" s="380"/>
      <c r="BZ360" s="380"/>
    </row>
    <row r="361" ht="24.9" customHeight="1">
      <c r="BQ361" t="s" s="364">
        <v>50</v>
      </c>
      <c r="BR361" s="381"/>
      <c r="BS361" s="378"/>
      <c r="BT361" s="378"/>
      <c r="BU361" s="378"/>
      <c r="BV361" s="339">
        <v>1</v>
      </c>
      <c r="BW361" s="378"/>
      <c r="BX361" s="379" cm="1">
        <f t="array" ref="BX361">SUM(BR361:BW361)</f>
        <v>1</v>
      </c>
      <c r="BY361" s="380"/>
      <c r="BZ361" s="380"/>
    </row>
    <row r="362" ht="24.9" customHeight="1">
      <c r="BQ362" t="s" s="364">
        <v>51</v>
      </c>
      <c r="BR362" s="381"/>
      <c r="BS362" s="378"/>
      <c r="BT362" s="378"/>
      <c r="BU362" s="382"/>
      <c r="BV362" s="378"/>
      <c r="BW362" s="378"/>
      <c r="BX362" s="379" cm="1">
        <f t="array" ref="BX362">SUM(BR362:BW362)</f>
        <v>0</v>
      </c>
      <c r="BY362" s="380"/>
      <c r="BZ362" s="380"/>
    </row>
    <row r="363" ht="24.9" customHeight="1">
      <c r="BQ363" t="s" s="364">
        <v>52</v>
      </c>
      <c r="BR363" s="381"/>
      <c r="BS363" s="378"/>
      <c r="BT363" s="378"/>
      <c r="BU363" s="378"/>
      <c r="BV363" s="339">
        <v>1</v>
      </c>
      <c r="BW363" s="378"/>
      <c r="BX363" s="379" cm="1">
        <f t="array" ref="BX363">SUM(BR363:BW363)</f>
        <v>1</v>
      </c>
      <c r="BY363" s="380"/>
      <c r="BZ363" s="380"/>
    </row>
    <row r="364" ht="24.9" customHeight="1">
      <c r="BQ364" t="s" s="364">
        <v>115</v>
      </c>
      <c r="BR364" s="381"/>
      <c r="BS364" s="378"/>
      <c r="BT364" s="392">
        <v>1</v>
      </c>
      <c r="BU364" s="382"/>
      <c r="BV364" s="378"/>
      <c r="BW364" s="378"/>
      <c r="BX364" s="379" cm="1">
        <f t="array" ref="BX364">SUM(BR364:BW364)</f>
        <v>1</v>
      </c>
      <c r="BY364" s="379">
        <v>1</v>
      </c>
      <c r="BZ364" s="380"/>
    </row>
    <row r="365" ht="24.9" customHeight="1">
      <c r="BQ365" t="s" s="364">
        <v>197</v>
      </c>
      <c r="BR365" s="381"/>
      <c r="BS365" s="378"/>
      <c r="BT365" s="378"/>
      <c r="BU365" s="382"/>
      <c r="BV365" s="378"/>
      <c r="BW365" s="378"/>
      <c r="BX365" s="379" cm="1">
        <f t="array" ref="BX365">SUM(BR365:BW365)</f>
        <v>0</v>
      </c>
      <c r="BY365" s="380"/>
      <c r="BZ365" s="380"/>
    </row>
    <row r="366" ht="24.9" customHeight="1">
      <c r="BQ366" t="s" s="364">
        <v>46</v>
      </c>
      <c r="BR366" s="381"/>
      <c r="BS366" s="378"/>
      <c r="BT366" s="378"/>
      <c r="BU366" s="382"/>
      <c r="BV366" s="378"/>
      <c r="BW366" s="378"/>
      <c r="BX366" s="379" cm="1">
        <f t="array" ref="BX366">SUM(BR366:BW366)</f>
        <v>0</v>
      </c>
      <c r="BY366" s="380"/>
      <c r="BZ366" s="380"/>
    </row>
    <row r="367" ht="24.9" customHeight="1">
      <c r="BQ367" t="s" s="364">
        <v>191</v>
      </c>
      <c r="BR367" s="381"/>
      <c r="BS367" s="339">
        <v>1</v>
      </c>
      <c r="BT367" s="339">
        <v>1</v>
      </c>
      <c r="BU367" s="339">
        <v>1</v>
      </c>
      <c r="BV367" s="378"/>
      <c r="BW367" s="378"/>
      <c r="BX367" s="379" cm="1">
        <f t="array" ref="BX367">SUM(BR367:BW367)</f>
        <v>3</v>
      </c>
      <c r="BY367" s="380"/>
      <c r="BZ367" s="380"/>
    </row>
    <row r="368" ht="24.9" customHeight="1">
      <c r="BQ368" t="s" s="364">
        <v>109</v>
      </c>
      <c r="BR368" s="381"/>
      <c r="BS368" s="378"/>
      <c r="BT368" s="378"/>
      <c r="BU368" s="339">
        <v>1</v>
      </c>
      <c r="BV368" s="378"/>
      <c r="BW368" s="378"/>
      <c r="BX368" s="379" cm="1">
        <f t="array" ref="BX368">SUM(BR368:BW368)</f>
        <v>1</v>
      </c>
      <c r="BY368" s="380"/>
      <c r="BZ368" s="380"/>
    </row>
    <row r="369" ht="24.9" customHeight="1">
      <c r="BQ369" t="s" s="364">
        <v>270</v>
      </c>
      <c r="BR369" s="381"/>
      <c r="BS369" s="378"/>
      <c r="BT369" s="378"/>
      <c r="BU369" s="382"/>
      <c r="BV369" s="378"/>
      <c r="BW369" s="378"/>
      <c r="BX369" s="379" cm="1">
        <f t="array" ref="BX369">SUM(BR369:BW369)</f>
        <v>0</v>
      </c>
      <c r="BY369" s="380"/>
      <c r="BZ369" s="380"/>
    </row>
    <row r="370" ht="26.35" customHeight="1">
      <c r="BQ370" t="s" s="364">
        <v>272</v>
      </c>
      <c r="BR370" s="381"/>
      <c r="BS370" s="339">
        <v>1</v>
      </c>
      <c r="BT370" s="378"/>
      <c r="BU370" s="339">
        <v>1</v>
      </c>
      <c r="BV370" s="339">
        <v>1</v>
      </c>
      <c r="BW370" s="378"/>
      <c r="BX370" s="379" cm="1">
        <f t="array" ref="BX370">SUM(BR370:BW370)</f>
        <v>3</v>
      </c>
      <c r="BY370" s="380"/>
      <c r="BZ370" s="380"/>
    </row>
    <row r="371" ht="26.35" customHeight="1">
      <c r="BQ371" t="s" s="364">
        <v>319</v>
      </c>
      <c r="BR371" s="381"/>
      <c r="BS371" s="378"/>
      <c r="BT371" s="378"/>
      <c r="BU371" s="382"/>
      <c r="BV371" s="378"/>
      <c r="BW371" s="378"/>
      <c r="BX371" s="379" cm="1">
        <f t="array" ref="BX371">SUM(BR371:BW371)</f>
        <v>0</v>
      </c>
      <c r="BY371" s="380"/>
      <c r="BZ371" s="380"/>
    </row>
    <row r="372" ht="26.35" customHeight="1">
      <c r="BQ372" t="s" s="364">
        <v>352</v>
      </c>
      <c r="BR372" s="345">
        <v>1</v>
      </c>
      <c r="BS372" s="378"/>
      <c r="BT372" s="339">
        <v>1</v>
      </c>
      <c r="BU372" s="339">
        <v>1</v>
      </c>
      <c r="BV372" s="378"/>
      <c r="BW372" s="339">
        <v>1</v>
      </c>
      <c r="BX372" s="379" cm="1">
        <f t="array" ref="BX372">SUM(BR372:BW372)</f>
        <v>4</v>
      </c>
      <c r="BY372" s="380"/>
      <c r="BZ372" s="380"/>
    </row>
    <row r="373" ht="26.35" customHeight="1">
      <c r="BQ373" t="s" s="364">
        <v>349</v>
      </c>
      <c r="BR373" s="345">
        <v>1</v>
      </c>
      <c r="BS373" s="339">
        <v>1</v>
      </c>
      <c r="BT373" s="339">
        <v>1</v>
      </c>
      <c r="BU373" s="339">
        <v>1</v>
      </c>
      <c r="BV373" s="378"/>
      <c r="BW373" s="339">
        <v>1</v>
      </c>
      <c r="BX373" s="379" cm="1">
        <f t="array" ref="BX373">SUM(BR373:BW373)</f>
        <v>5</v>
      </c>
      <c r="BY373" s="380"/>
      <c r="BZ373" s="380"/>
    </row>
    <row r="374" ht="26.35" customHeight="1">
      <c r="BQ374" t="s" s="264">
        <v>358</v>
      </c>
      <c r="BR374" s="381"/>
      <c r="BS374" s="378"/>
      <c r="BT374" s="339">
        <v>1</v>
      </c>
      <c r="BU374" s="339">
        <v>1</v>
      </c>
      <c r="BV374" s="378"/>
      <c r="BW374" s="378"/>
      <c r="BX374" s="379" cm="1">
        <f t="array" ref="BX374">SUM(BR374:BW374)</f>
        <v>2</v>
      </c>
      <c r="BY374" s="380"/>
      <c r="BZ374" s="380"/>
    </row>
    <row r="375" ht="26.35" customHeight="1">
      <c r="BQ375" t="s" s="264">
        <v>359</v>
      </c>
      <c r="BR375" s="345">
        <v>1</v>
      </c>
      <c r="BS375" s="339">
        <v>1</v>
      </c>
      <c r="BT375" s="339">
        <v>1</v>
      </c>
      <c r="BU375" s="339">
        <v>1</v>
      </c>
      <c r="BV375" s="339">
        <v>1</v>
      </c>
      <c r="BW375" s="378"/>
      <c r="BX375" s="379" cm="1">
        <f t="array" ref="BX375">SUM(BR375:BW375)</f>
        <v>5</v>
      </c>
      <c r="BY375" s="380"/>
      <c r="BZ375" s="380"/>
    </row>
    <row r="376" ht="26.35" customHeight="1">
      <c r="BQ376" t="s" s="264">
        <v>360</v>
      </c>
      <c r="BR376" s="381"/>
      <c r="BS376" s="339">
        <v>1</v>
      </c>
      <c r="BT376" s="339">
        <v>1</v>
      </c>
      <c r="BU376" s="339">
        <v>1</v>
      </c>
      <c r="BV376" s="339">
        <v>1</v>
      </c>
      <c r="BW376" s="378"/>
      <c r="BX376" s="379" cm="1">
        <f t="array" ref="BX376">SUM(BR376:BW376)</f>
        <v>4</v>
      </c>
      <c r="BY376" s="380"/>
      <c r="BZ376" s="380"/>
    </row>
    <row r="377" ht="26.35" customHeight="1">
      <c r="BQ377" t="s" s="264">
        <v>363</v>
      </c>
      <c r="BR377" s="345">
        <v>1</v>
      </c>
      <c r="BS377" s="339">
        <v>1</v>
      </c>
      <c r="BT377" s="339">
        <v>1</v>
      </c>
      <c r="BU377" s="339">
        <v>1</v>
      </c>
      <c r="BV377" s="339">
        <v>1</v>
      </c>
      <c r="BW377" s="339">
        <v>1</v>
      </c>
      <c r="BX377" s="379" cm="1">
        <f t="array" ref="BX377">SUM(BR377:BW377)</f>
        <v>6</v>
      </c>
      <c r="BY377" s="380"/>
      <c r="BZ377" s="380"/>
    </row>
    <row r="378" ht="26.35" customHeight="1">
      <c r="BQ378" t="s" s="264">
        <v>355</v>
      </c>
      <c r="BR378" s="286"/>
      <c r="BS378" s="287"/>
      <c r="BT378" s="287"/>
      <c r="BU378" s="287"/>
      <c r="BV378" s="339">
        <v>1</v>
      </c>
      <c r="BW378" s="339">
        <v>1</v>
      </c>
      <c r="BX378" s="379" cm="1">
        <f t="array" ref="BX378">SUM(BR378:BW378)</f>
        <v>2</v>
      </c>
      <c r="BY378" s="380"/>
      <c r="BZ378" s="380"/>
    </row>
    <row r="379" ht="26.35" customHeight="1">
      <c r="BQ379" t="s" s="264">
        <v>357</v>
      </c>
      <c r="BR379" s="286"/>
      <c r="BS379" s="287"/>
      <c r="BT379" s="287"/>
      <c r="BU379" s="287"/>
      <c r="BV379" s="287"/>
      <c r="BW379" s="339">
        <v>1</v>
      </c>
      <c r="BX379" s="379" cm="1">
        <f t="array" ref="BX379">SUM(BR379:BW379)</f>
        <v>1</v>
      </c>
      <c r="BY379" s="380"/>
      <c r="BZ379" s="380"/>
    </row>
    <row r="380" ht="26.35" customHeight="1">
      <c r="BQ380" t="s" s="255">
        <v>365</v>
      </c>
      <c r="BR380" s="286"/>
      <c r="BS380" s="287"/>
      <c r="BT380" s="287"/>
      <c r="BU380" s="287"/>
      <c r="BV380" s="287"/>
      <c r="BW380" s="393"/>
      <c r="BX380" s="379" cm="1">
        <f t="array" ref="BX380">SUM(BR380:BW380)</f>
        <v>0</v>
      </c>
      <c r="BY380" s="380"/>
      <c r="BZ380" s="380"/>
    </row>
    <row r="381" ht="26.35" customHeight="1">
      <c r="BQ381" t="s" s="264">
        <v>368</v>
      </c>
      <c r="BR381" s="286"/>
      <c r="BS381" s="287"/>
      <c r="BT381" s="287"/>
      <c r="BU381" s="287"/>
      <c r="BV381" s="287"/>
      <c r="BW381" s="393"/>
      <c r="BX381" s="379" cm="1">
        <f t="array" ref="BX381">SUM(BR381:BW381)</f>
        <v>0</v>
      </c>
      <c r="BY381" s="380"/>
      <c r="BZ381" s="380"/>
    </row>
    <row r="382" ht="26.35" customHeight="1">
      <c r="BQ382" t="s" s="264">
        <v>371</v>
      </c>
      <c r="BR382" s="286"/>
      <c r="BS382" s="287"/>
      <c r="BT382" s="287"/>
      <c r="BU382" s="287"/>
      <c r="BV382" s="287"/>
      <c r="BW382" s="393"/>
      <c r="BX382" s="379" cm="1">
        <f t="array" ref="BX382">SUM(BR382:BW382)</f>
        <v>0</v>
      </c>
      <c r="BY382" s="380"/>
      <c r="BZ382" s="380"/>
    </row>
    <row r="383" ht="26.35" customHeight="1">
      <c r="BQ383" t="s" s="364">
        <v>102</v>
      </c>
      <c r="BR383" s="381"/>
      <c r="BS383" s="378"/>
      <c r="BT383" s="378"/>
      <c r="BU383" s="339">
        <v>2</v>
      </c>
      <c r="BV383" s="339">
        <v>1</v>
      </c>
      <c r="BW383" s="378"/>
      <c r="BX383" s="379" cm="1">
        <f t="array" ref="BX383">SUM(BR383:BW383)</f>
        <v>3</v>
      </c>
      <c r="BY383" s="380"/>
      <c r="BZ383" s="380"/>
    </row>
    <row r="384" ht="26.35" customHeight="1">
      <c r="BQ384" t="s" s="364">
        <v>102</v>
      </c>
      <c r="BR384" s="381"/>
      <c r="BS384" s="378"/>
      <c r="BT384" s="378"/>
      <c r="BU384" s="378"/>
      <c r="BV384" s="378"/>
      <c r="BW384" s="394">
        <v>1</v>
      </c>
      <c r="BX384" s="379" cm="1">
        <f t="array" ref="BX384">SUM(BR384:BW384)</f>
        <v>1</v>
      </c>
      <c r="BY384" s="380"/>
      <c r="BZ384" s="380"/>
    </row>
    <row r="385" ht="32.35" customHeight="1">
      <c r="BQ385" t="s" s="386">
        <v>30</v>
      </c>
      <c r="BR385" s="387" cm="1">
        <f t="array" ref="BR385">SUM(BR335:BR383)</f>
        <v>8</v>
      </c>
      <c r="BS385" s="379" cm="1">
        <f t="array" ref="BS385">SUM(BS335:BS383)</f>
        <v>14</v>
      </c>
      <c r="BT385" s="379" cm="1">
        <f t="array" ref="BT385">SUM(BT335:BT383)</f>
        <v>21</v>
      </c>
      <c r="BU385" s="379" cm="1">
        <f t="array" ref="BU385">SUM(BU335:BU383)</f>
        <v>17</v>
      </c>
      <c r="BV385" s="379" cm="1">
        <f t="array" ref="BV385">SUM(BV335:BV383)</f>
        <v>15</v>
      </c>
      <c r="BW385" s="379" cm="1">
        <f t="array" ref="BW385">SUM(BW335:BW383)</f>
        <v>7</v>
      </c>
      <c r="BX385" s="379" cm="1">
        <f t="array" ref="BX385">SUM(BX335:BX383)</f>
        <v>82</v>
      </c>
      <c r="BY385" s="380"/>
      <c r="BZ385" s="380"/>
    </row>
    <row r="387" ht="27.65" customHeight="1">
      <c r="CA387" t="s" s="2">
        <v>92</v>
      </c>
      <c r="CB387" s="2"/>
      <c r="CC387" s="2"/>
      <c r="CD387" s="2"/>
      <c r="CE387" s="2"/>
      <c r="CF387" s="2"/>
      <c r="CG387" s="2"/>
      <c r="CH387" s="2"/>
      <c r="CI387" s="2"/>
      <c r="CJ387" s="2"/>
      <c r="CK387" s="2"/>
    </row>
    <row r="388" ht="41.7" customHeight="1">
      <c r="CA388" s="371"/>
      <c r="CB388" t="s" s="372">
        <v>333</v>
      </c>
      <c r="CC388" t="s" s="372">
        <v>334</v>
      </c>
      <c r="CD388" t="s" s="372">
        <v>335</v>
      </c>
      <c r="CE388" t="s" s="372">
        <v>336</v>
      </c>
      <c r="CF388" t="s" s="372">
        <v>337</v>
      </c>
      <c r="CG388" t="s" s="372">
        <v>338</v>
      </c>
      <c r="CH388" t="s" s="354">
        <v>425</v>
      </c>
      <c r="CI388" t="s" s="354">
        <v>68</v>
      </c>
      <c r="CJ388" t="s" s="354">
        <v>69</v>
      </c>
      <c r="CK388" t="s" s="354">
        <v>426</v>
      </c>
    </row>
    <row r="389" ht="26.25" customHeight="1">
      <c r="CA389" t="s" s="373">
        <v>35</v>
      </c>
      <c r="CB389" s="374"/>
      <c r="CC389" s="375"/>
      <c r="CD389" s="375"/>
      <c r="CE389" s="375"/>
      <c r="CF389" s="375"/>
      <c r="CG389" s="375"/>
      <c r="CH389" s="375"/>
      <c r="CI389" s="375"/>
      <c r="CJ389" s="377"/>
      <c r="CK389" s="377"/>
    </row>
    <row r="390" ht="25.95" customHeight="1">
      <c r="CA390" t="s" s="364">
        <v>47</v>
      </c>
      <c r="CB390" s="381"/>
      <c r="CC390" s="378"/>
      <c r="CD390" s="378"/>
      <c r="CE390" s="378"/>
      <c r="CF390" s="378"/>
      <c r="CG390" s="378"/>
      <c r="CH390" s="378"/>
      <c r="CI390" s="378"/>
      <c r="CJ390" s="380"/>
      <c r="CK390" s="380"/>
    </row>
    <row r="391" ht="25.95" customHeight="1">
      <c r="CA391" t="s" s="364">
        <v>10</v>
      </c>
      <c r="CB391" s="381"/>
      <c r="CC391" s="378"/>
      <c r="CD391" s="378"/>
      <c r="CE391" s="378"/>
      <c r="CF391" s="378"/>
      <c r="CG391" s="378"/>
      <c r="CH391" s="378"/>
      <c r="CI391" s="378"/>
      <c r="CJ391" s="380"/>
      <c r="CK391" s="380"/>
    </row>
    <row r="392" ht="25.95" customHeight="1">
      <c r="CA392" t="s" s="364">
        <v>32</v>
      </c>
      <c r="CB392" s="381"/>
      <c r="CC392" s="378"/>
      <c r="CD392" s="378"/>
      <c r="CE392" s="382"/>
      <c r="CF392" s="378"/>
      <c r="CG392" s="378"/>
      <c r="CH392" s="378"/>
      <c r="CI392" s="378"/>
      <c r="CJ392" s="380"/>
      <c r="CK392" s="380"/>
    </row>
    <row r="393" ht="25.95" customHeight="1">
      <c r="CA393" t="s" s="364">
        <v>16</v>
      </c>
      <c r="CB393" s="381"/>
      <c r="CC393" s="378"/>
      <c r="CD393" s="378"/>
      <c r="CE393" s="378"/>
      <c r="CF393" s="378"/>
      <c r="CG393" s="378"/>
      <c r="CH393" s="378"/>
      <c r="CI393" s="378"/>
      <c r="CJ393" s="380"/>
      <c r="CK393" s="380"/>
    </row>
    <row r="394" ht="41.5" customHeight="1">
      <c r="CA394" t="s" s="364">
        <v>18</v>
      </c>
      <c r="CB394" s="381"/>
      <c r="CC394" s="378"/>
      <c r="CD394" s="382"/>
      <c r="CE394" s="378"/>
      <c r="CF394" s="378"/>
      <c r="CG394" s="378"/>
      <c r="CH394" s="378"/>
      <c r="CI394" s="378"/>
      <c r="CJ394" s="380"/>
      <c r="CK394" s="380"/>
    </row>
    <row r="395" ht="25.95" customHeight="1">
      <c r="CA395" t="s" s="364">
        <v>287</v>
      </c>
      <c r="CB395" s="381"/>
      <c r="CC395" s="378"/>
      <c r="CD395" s="378"/>
      <c r="CE395" s="378"/>
      <c r="CF395" s="378"/>
      <c r="CG395" s="378"/>
      <c r="CH395" s="378"/>
      <c r="CI395" s="378"/>
      <c r="CJ395" s="380"/>
      <c r="CK395" s="380"/>
    </row>
    <row r="396" ht="25.95" customHeight="1">
      <c r="CA396" t="s" s="364">
        <v>45</v>
      </c>
      <c r="CB396" s="381"/>
      <c r="CC396" s="378"/>
      <c r="CD396" s="378"/>
      <c r="CE396" s="378"/>
      <c r="CF396" s="378"/>
      <c r="CG396" s="378"/>
      <c r="CH396" s="378"/>
      <c r="CI396" s="378"/>
      <c r="CJ396" s="380"/>
      <c r="CK396" s="380"/>
    </row>
    <row r="397" ht="25.95" customHeight="1">
      <c r="CA397" t="s" s="364">
        <v>154</v>
      </c>
      <c r="CB397" s="381"/>
      <c r="CC397" s="378"/>
      <c r="CD397" s="378"/>
      <c r="CE397" s="378"/>
      <c r="CF397" s="378"/>
      <c r="CG397" s="378"/>
      <c r="CH397" s="378"/>
      <c r="CI397" s="378"/>
      <c r="CJ397" s="380"/>
      <c r="CK397" s="380"/>
    </row>
    <row r="398" ht="25.95" customHeight="1">
      <c r="CA398" t="s" s="364">
        <v>257</v>
      </c>
      <c r="CB398" s="381"/>
      <c r="CC398" s="378"/>
      <c r="CD398" s="378"/>
      <c r="CE398" s="382"/>
      <c r="CF398" s="378"/>
      <c r="CG398" s="378"/>
      <c r="CH398" s="378"/>
      <c r="CI398" s="382"/>
      <c r="CJ398" s="389"/>
      <c r="CK398" s="389"/>
    </row>
    <row r="399" ht="25.95" customHeight="1">
      <c r="CA399" t="s" s="364">
        <v>391</v>
      </c>
      <c r="CB399" s="381"/>
      <c r="CC399" s="378"/>
      <c r="CD399" s="378"/>
      <c r="CE399" s="382"/>
      <c r="CF399" s="378"/>
      <c r="CG399" s="378"/>
      <c r="CH399" s="378"/>
      <c r="CI399" s="378"/>
      <c r="CJ399" s="380"/>
      <c r="CK399" s="380"/>
    </row>
    <row r="400" ht="25.95" customHeight="1">
      <c r="CA400" t="s" s="364">
        <v>393</v>
      </c>
      <c r="CB400" s="381"/>
      <c r="CC400" s="378"/>
      <c r="CD400" s="378"/>
      <c r="CE400" s="382"/>
      <c r="CF400" s="378"/>
      <c r="CG400" s="378"/>
      <c r="CH400" s="378"/>
      <c r="CI400" s="378"/>
      <c r="CJ400" s="380"/>
      <c r="CK400" s="380"/>
    </row>
    <row r="401" ht="25.95" customHeight="1">
      <c r="CA401" t="s" s="364">
        <v>395</v>
      </c>
      <c r="CB401" s="381"/>
      <c r="CC401" s="378"/>
      <c r="CD401" s="378"/>
      <c r="CE401" s="378"/>
      <c r="CF401" s="378"/>
      <c r="CG401" s="378"/>
      <c r="CH401" s="378"/>
      <c r="CI401" s="378"/>
      <c r="CJ401" s="380"/>
      <c r="CK401" s="380"/>
    </row>
    <row r="402" ht="25.95" customHeight="1">
      <c r="CA402" t="s" s="364">
        <v>155</v>
      </c>
      <c r="CB402" s="381"/>
      <c r="CC402" s="378"/>
      <c r="CD402" s="378"/>
      <c r="CE402" s="382"/>
      <c r="CF402" s="378"/>
      <c r="CG402" s="378"/>
      <c r="CH402" s="378"/>
      <c r="CI402" s="378"/>
      <c r="CJ402" s="380"/>
      <c r="CK402" s="380"/>
    </row>
    <row r="403" ht="25.95" customHeight="1">
      <c r="CA403" t="s" s="364">
        <v>37</v>
      </c>
      <c r="CB403" s="381"/>
      <c r="CC403" s="378"/>
      <c r="CD403" s="378"/>
      <c r="CE403" s="382"/>
      <c r="CF403" s="378"/>
      <c r="CG403" s="378"/>
      <c r="CH403" s="378"/>
      <c r="CI403" s="378"/>
      <c r="CJ403" s="380"/>
      <c r="CK403" s="380"/>
    </row>
    <row r="404" ht="25.95" customHeight="1">
      <c r="CA404" t="s" s="364">
        <v>19</v>
      </c>
      <c r="CB404" s="381"/>
      <c r="CC404" s="378"/>
      <c r="CD404" s="378"/>
      <c r="CE404" s="382"/>
      <c r="CF404" s="378"/>
      <c r="CG404" s="378"/>
      <c r="CH404" s="378"/>
      <c r="CI404" s="378"/>
      <c r="CJ404" s="380"/>
      <c r="CK404" s="380"/>
    </row>
    <row r="405" ht="25.95" customHeight="1">
      <c r="CA405" t="s" s="364">
        <v>239</v>
      </c>
      <c r="CB405" s="381"/>
      <c r="CC405" s="378"/>
      <c r="CD405" s="378"/>
      <c r="CE405" s="382"/>
      <c r="CF405" s="378"/>
      <c r="CG405" s="378"/>
      <c r="CH405" s="378"/>
      <c r="CI405" s="378"/>
      <c r="CJ405" s="380"/>
      <c r="CK405" s="380"/>
    </row>
    <row r="406" ht="45.35" customHeight="1">
      <c r="CA406" t="s" s="364">
        <v>262</v>
      </c>
      <c r="CB406" s="381"/>
      <c r="CC406" s="378"/>
      <c r="CD406" s="378"/>
      <c r="CE406" s="378"/>
      <c r="CF406" s="378"/>
      <c r="CG406" s="378"/>
      <c r="CH406" s="378"/>
      <c r="CI406" s="378"/>
      <c r="CJ406" s="380"/>
      <c r="CK406" s="380"/>
    </row>
    <row r="407" ht="25.95" customHeight="1">
      <c r="CA407" t="s" s="364">
        <v>265</v>
      </c>
      <c r="CB407" s="381"/>
      <c r="CC407" s="378"/>
      <c r="CD407" s="378"/>
      <c r="CE407" s="382"/>
      <c r="CF407" s="378"/>
      <c r="CG407" s="378"/>
      <c r="CH407" s="378"/>
      <c r="CI407" s="378"/>
      <c r="CJ407" s="380"/>
      <c r="CK407" s="380"/>
    </row>
    <row r="408" ht="25.95" customHeight="1">
      <c r="CA408" t="s" s="364">
        <v>250</v>
      </c>
      <c r="CB408" s="381"/>
      <c r="CC408" s="378"/>
      <c r="CD408" s="378"/>
      <c r="CE408" s="378"/>
      <c r="CF408" s="378"/>
      <c r="CG408" s="378"/>
      <c r="CH408" s="378"/>
      <c r="CI408" s="378"/>
      <c r="CJ408" s="380"/>
      <c r="CK408" s="380"/>
    </row>
    <row r="409" ht="25.95" customHeight="1">
      <c r="CA409" t="s" s="364">
        <v>268</v>
      </c>
      <c r="CB409" s="381"/>
      <c r="CC409" s="378"/>
      <c r="CD409" s="378"/>
      <c r="CE409" s="382"/>
      <c r="CF409" s="378"/>
      <c r="CG409" s="378"/>
      <c r="CH409" s="378"/>
      <c r="CI409" s="378"/>
      <c r="CJ409" s="380"/>
      <c r="CK409" s="380"/>
    </row>
    <row r="410" ht="25.95" customHeight="1">
      <c r="CA410" t="s" s="364">
        <v>156</v>
      </c>
      <c r="CB410" s="381"/>
      <c r="CC410" s="378"/>
      <c r="CD410" s="378"/>
      <c r="CE410" s="382"/>
      <c r="CF410" s="378"/>
      <c r="CG410" s="378"/>
      <c r="CH410" s="378"/>
      <c r="CI410" s="378"/>
      <c r="CJ410" s="380"/>
      <c r="CK410" s="380"/>
    </row>
    <row r="411" ht="25.95" customHeight="1">
      <c r="CA411" t="s" s="364">
        <v>259</v>
      </c>
      <c r="CB411" s="381"/>
      <c r="CC411" s="378"/>
      <c r="CD411" s="378"/>
      <c r="CE411" s="382"/>
      <c r="CF411" s="378"/>
      <c r="CG411" s="378"/>
      <c r="CH411" s="378"/>
      <c r="CI411" s="378"/>
      <c r="CJ411" s="380"/>
      <c r="CK411" s="380"/>
    </row>
    <row r="412" ht="38.2" customHeight="1">
      <c r="CA412" t="s" s="364">
        <v>274</v>
      </c>
      <c r="CB412" s="381"/>
      <c r="CC412" s="378"/>
      <c r="CD412" s="378"/>
      <c r="CE412" s="382"/>
      <c r="CF412" s="378"/>
      <c r="CG412" s="378"/>
      <c r="CH412" s="378"/>
      <c r="CI412" s="378"/>
      <c r="CJ412" s="380"/>
      <c r="CK412" s="380"/>
    </row>
    <row r="413" ht="24.9" customHeight="1">
      <c r="CA413" t="s" s="364">
        <v>48</v>
      </c>
      <c r="CB413" s="381"/>
      <c r="CC413" s="378"/>
      <c r="CD413" s="378"/>
      <c r="CE413" s="382"/>
      <c r="CF413" s="378"/>
      <c r="CG413" s="378"/>
      <c r="CH413" s="378"/>
      <c r="CI413" s="382"/>
      <c r="CJ413" s="389"/>
      <c r="CK413" s="389"/>
    </row>
    <row r="414" ht="32.1" customHeight="1">
      <c r="CA414" t="s" s="364">
        <v>49</v>
      </c>
      <c r="CB414" s="381"/>
      <c r="CC414" s="378"/>
      <c r="CD414" s="378"/>
      <c r="CE414" s="382"/>
      <c r="CF414" s="378"/>
      <c r="CG414" s="378"/>
      <c r="CH414" s="378"/>
      <c r="CI414" s="382"/>
      <c r="CJ414" s="389"/>
      <c r="CK414" s="389"/>
    </row>
    <row r="415" ht="24.9" customHeight="1">
      <c r="CA415" t="s" s="364">
        <v>50</v>
      </c>
      <c r="CB415" s="381"/>
      <c r="CC415" s="378"/>
      <c r="CD415" s="378"/>
      <c r="CE415" s="382"/>
      <c r="CF415" s="378"/>
      <c r="CG415" s="378"/>
      <c r="CH415" s="378"/>
      <c r="CI415" s="382"/>
      <c r="CJ415" s="389"/>
      <c r="CK415" s="389"/>
    </row>
    <row r="416" ht="24.9" customHeight="1">
      <c r="CA416" t="s" s="364">
        <v>51</v>
      </c>
      <c r="CB416" s="381"/>
      <c r="CC416" s="378"/>
      <c r="CD416" s="378"/>
      <c r="CE416" s="378"/>
      <c r="CF416" s="378"/>
      <c r="CG416" s="378"/>
      <c r="CH416" s="378"/>
      <c r="CI416" s="382"/>
      <c r="CJ416" s="389"/>
      <c r="CK416" s="389"/>
    </row>
    <row r="417" ht="24.9" customHeight="1">
      <c r="CA417" t="s" s="364">
        <v>52</v>
      </c>
      <c r="CB417" s="381"/>
      <c r="CC417" s="378"/>
      <c r="CD417" s="378"/>
      <c r="CE417" s="378"/>
      <c r="CF417" s="378"/>
      <c r="CG417" s="378"/>
      <c r="CH417" s="378"/>
      <c r="CI417" s="382"/>
      <c r="CJ417" s="389"/>
      <c r="CK417" s="389"/>
    </row>
    <row r="418" ht="24.9" customHeight="1">
      <c r="CA418" t="s" s="364">
        <v>115</v>
      </c>
      <c r="CB418" s="381"/>
      <c r="CC418" s="378"/>
      <c r="CD418" s="378"/>
      <c r="CE418" s="382"/>
      <c r="CF418" s="378"/>
      <c r="CG418" s="378"/>
      <c r="CH418" s="378"/>
      <c r="CI418" s="382"/>
      <c r="CJ418" s="389"/>
      <c r="CK418" s="389"/>
    </row>
    <row r="419" ht="24.9" customHeight="1">
      <c r="CA419" t="s" s="364">
        <v>197</v>
      </c>
      <c r="CB419" s="381"/>
      <c r="CC419" s="378"/>
      <c r="CD419" s="378"/>
      <c r="CE419" s="382"/>
      <c r="CF419" s="378"/>
      <c r="CG419" s="378"/>
      <c r="CH419" s="378"/>
      <c r="CI419" s="382"/>
      <c r="CJ419" s="389"/>
      <c r="CK419" s="389"/>
    </row>
    <row r="420" ht="24.9" customHeight="1">
      <c r="CA420" t="s" s="364">
        <v>46</v>
      </c>
      <c r="CB420" s="381"/>
      <c r="CC420" s="378"/>
      <c r="CD420" s="378"/>
      <c r="CE420" s="382"/>
      <c r="CF420" s="378"/>
      <c r="CG420" s="378"/>
      <c r="CH420" s="378"/>
      <c r="CI420" s="382"/>
      <c r="CJ420" s="389"/>
      <c r="CK420" s="389"/>
    </row>
    <row r="421" ht="24.9" customHeight="1">
      <c r="CA421" t="s" s="364">
        <v>191</v>
      </c>
      <c r="CB421" s="381"/>
      <c r="CC421" s="378"/>
      <c r="CD421" s="378"/>
      <c r="CE421" s="382"/>
      <c r="CF421" s="378"/>
      <c r="CG421" s="378"/>
      <c r="CH421" s="378"/>
      <c r="CI421" s="382"/>
      <c r="CJ421" s="389"/>
      <c r="CK421" s="389"/>
    </row>
    <row r="422" ht="24.9" customHeight="1">
      <c r="CA422" t="s" s="364">
        <v>109</v>
      </c>
      <c r="CB422" s="381"/>
      <c r="CC422" s="378"/>
      <c r="CD422" s="378"/>
      <c r="CE422" s="378"/>
      <c r="CF422" s="378"/>
      <c r="CG422" s="378"/>
      <c r="CH422" s="378"/>
      <c r="CI422" s="382"/>
      <c r="CJ422" s="389"/>
      <c r="CK422" s="389"/>
    </row>
    <row r="423" ht="24.9" customHeight="1">
      <c r="CA423" t="s" s="364">
        <v>270</v>
      </c>
      <c r="CB423" s="381"/>
      <c r="CC423" s="378"/>
      <c r="CD423" s="378"/>
      <c r="CE423" s="382"/>
      <c r="CF423" s="378"/>
      <c r="CG423" s="378"/>
      <c r="CH423" s="378"/>
      <c r="CI423" s="382"/>
      <c r="CJ423" s="389"/>
      <c r="CK423" s="389"/>
    </row>
    <row r="424" ht="24.9" customHeight="1">
      <c r="CA424" t="s" s="364">
        <v>272</v>
      </c>
      <c r="CB424" s="381"/>
      <c r="CC424" s="378"/>
      <c r="CD424" s="378"/>
      <c r="CE424" s="382"/>
      <c r="CF424" s="378"/>
      <c r="CG424" s="378"/>
      <c r="CH424" s="378"/>
      <c r="CI424" s="382"/>
      <c r="CJ424" s="389"/>
      <c r="CK424" s="389"/>
    </row>
    <row r="425" ht="24.9" customHeight="1">
      <c r="CA425" t="s" s="364">
        <v>319</v>
      </c>
      <c r="CB425" s="381"/>
      <c r="CC425" s="378"/>
      <c r="CD425" s="378"/>
      <c r="CE425" s="382"/>
      <c r="CF425" s="378"/>
      <c r="CG425" s="378"/>
      <c r="CH425" s="378"/>
      <c r="CI425" s="382"/>
      <c r="CJ425" s="389"/>
      <c r="CK425" s="389"/>
    </row>
    <row r="426" ht="24.9" customHeight="1">
      <c r="CA426" t="s" s="364">
        <v>352</v>
      </c>
      <c r="CB426" s="381"/>
      <c r="CC426" s="378"/>
      <c r="CD426" s="378"/>
      <c r="CE426" s="378"/>
      <c r="CF426" s="378"/>
      <c r="CG426" s="378"/>
      <c r="CH426" s="382"/>
      <c r="CI426" s="382"/>
      <c r="CJ426" s="389"/>
      <c r="CK426" s="389"/>
    </row>
    <row r="427" ht="24.9" customHeight="1">
      <c r="CA427" t="s" s="364">
        <v>349</v>
      </c>
      <c r="CB427" s="381"/>
      <c r="CC427" s="378"/>
      <c r="CD427" s="378"/>
      <c r="CE427" s="378"/>
      <c r="CF427" s="378"/>
      <c r="CG427" s="378"/>
      <c r="CH427" s="382"/>
      <c r="CI427" s="382"/>
      <c r="CJ427" s="389"/>
      <c r="CK427" s="389"/>
    </row>
    <row r="428" ht="23.95" customHeight="1">
      <c r="CA428" t="s" s="264">
        <v>358</v>
      </c>
      <c r="CB428" s="381"/>
      <c r="CC428" s="378"/>
      <c r="CD428" s="378"/>
      <c r="CE428" s="378"/>
      <c r="CF428" s="378"/>
      <c r="CG428" s="378"/>
      <c r="CH428" s="382"/>
      <c r="CI428" s="382"/>
      <c r="CJ428" s="389"/>
      <c r="CK428" s="389"/>
    </row>
    <row r="429" ht="23.95" customHeight="1">
      <c r="CA429" t="s" s="264">
        <v>359</v>
      </c>
      <c r="CB429" s="381"/>
      <c r="CC429" s="378"/>
      <c r="CD429" s="378"/>
      <c r="CE429" s="378"/>
      <c r="CF429" s="378"/>
      <c r="CG429" s="378"/>
      <c r="CH429" s="382"/>
      <c r="CI429" s="382"/>
      <c r="CJ429" s="389"/>
      <c r="CK429" s="389"/>
    </row>
    <row r="430" ht="23.95" customHeight="1">
      <c r="CA430" t="s" s="264">
        <v>360</v>
      </c>
      <c r="CB430" s="381"/>
      <c r="CC430" s="378"/>
      <c r="CD430" s="378"/>
      <c r="CE430" s="378"/>
      <c r="CF430" s="378"/>
      <c r="CG430" s="378"/>
      <c r="CH430" s="382"/>
      <c r="CI430" s="382"/>
      <c r="CJ430" s="389"/>
      <c r="CK430" s="389"/>
    </row>
    <row r="431" ht="23.95" customHeight="1">
      <c r="CA431" t="s" s="264">
        <v>363</v>
      </c>
      <c r="CB431" s="381"/>
      <c r="CC431" s="378"/>
      <c r="CD431" s="378"/>
      <c r="CE431" s="378"/>
      <c r="CF431" s="378"/>
      <c r="CG431" s="378"/>
      <c r="CH431" s="382"/>
      <c r="CI431" s="382"/>
      <c r="CJ431" s="389"/>
      <c r="CK431" s="389"/>
    </row>
    <row r="432" ht="23.95" customHeight="1">
      <c r="CA432" t="s" s="255">
        <v>365</v>
      </c>
      <c r="CB432" s="381"/>
      <c r="CC432" s="378"/>
      <c r="CD432" s="378"/>
      <c r="CE432" s="378"/>
      <c r="CF432" s="378"/>
      <c r="CG432" s="378"/>
      <c r="CH432" s="382"/>
      <c r="CI432" s="382"/>
      <c r="CJ432" s="389"/>
      <c r="CK432" s="389"/>
    </row>
    <row r="433" ht="23.95" customHeight="1">
      <c r="CA433" t="s" s="264">
        <v>368</v>
      </c>
      <c r="CB433" s="381"/>
      <c r="CC433" s="378"/>
      <c r="CD433" s="378"/>
      <c r="CE433" s="378"/>
      <c r="CF433" s="378"/>
      <c r="CG433" s="378"/>
      <c r="CH433" s="382"/>
      <c r="CI433" s="382"/>
      <c r="CJ433" s="389"/>
      <c r="CK433" s="389"/>
    </row>
    <row r="434" ht="23.95" customHeight="1">
      <c r="CA434" t="s" s="264">
        <v>371</v>
      </c>
      <c r="CB434" s="381"/>
      <c r="CC434" s="378"/>
      <c r="CD434" s="378"/>
      <c r="CE434" s="378"/>
      <c r="CF434" s="378"/>
      <c r="CG434" s="378"/>
      <c r="CH434" s="382"/>
      <c r="CI434" s="382"/>
      <c r="CJ434" s="389"/>
      <c r="CK434" s="389"/>
    </row>
    <row r="435" ht="24.9" customHeight="1">
      <c r="CA435" t="s" s="364">
        <v>102</v>
      </c>
      <c r="CB435" s="381"/>
      <c r="CC435" s="378"/>
      <c r="CD435" s="378"/>
      <c r="CE435" s="378"/>
      <c r="CF435" s="378"/>
      <c r="CG435" s="378"/>
      <c r="CH435" s="382"/>
      <c r="CI435" s="382"/>
      <c r="CJ435" s="389"/>
      <c r="CK435" s="389"/>
    </row>
    <row r="436" ht="21.5" customHeight="1">
      <c r="CA436" t="s" s="364">
        <v>102</v>
      </c>
      <c r="CB436" s="381"/>
      <c r="CC436" s="378"/>
      <c r="CD436" s="378"/>
      <c r="CE436" s="378"/>
      <c r="CF436" s="378"/>
      <c r="CG436" s="378"/>
      <c r="CH436" s="378"/>
      <c r="CI436" s="378"/>
      <c r="CJ436" s="390"/>
      <c r="CK436" s="390"/>
    </row>
    <row r="437" ht="21.5" customHeight="1">
      <c r="CA437" t="s" s="386">
        <v>30</v>
      </c>
      <c r="CB437" s="387" cm="1">
        <f t="array" ref="CB437">SUM(CB389:CB413)</f>
        <v>0</v>
      </c>
      <c r="CC437" s="379" cm="1">
        <f t="array" ref="CC437">SUM(CC389:CC413)</f>
        <v>0</v>
      </c>
      <c r="CD437" s="379" cm="1">
        <f t="array" ref="CD437">SUM(CD389:CD413)</f>
        <v>0</v>
      </c>
      <c r="CE437" s="379" cm="1">
        <f t="array" ref="CE437">SUM(CE389:CE413)</f>
        <v>0</v>
      </c>
      <c r="CF437" s="379" cm="1">
        <f t="array" ref="CF437">SUM(CF389:CF413)</f>
        <v>0</v>
      </c>
      <c r="CG437" s="379" cm="1">
        <f t="array" ref="CG437">SUM(CG389:CG413)</f>
        <v>0</v>
      </c>
      <c r="CH437" s="379" cm="1">
        <f t="array" ref="CH437">SUM(CB437:CG437)</f>
        <v>0</v>
      </c>
      <c r="CI437" s="379" cm="1">
        <f t="array" ref="CI437">SUM(CI389:CI413)</f>
        <v>0</v>
      </c>
      <c r="CJ437" s="379" cm="1">
        <f t="array" ref="CJ437">SUM(CJ389:CJ413)</f>
        <v>0</v>
      </c>
      <c r="CK437" s="379" cm="1">
        <f t="array" ref="CK437">SUM(CK389:CK413)</f>
        <v>0</v>
      </c>
    </row>
    <row r="439" ht="27.65" customHeight="1">
      <c r="CL439" t="s" s="2">
        <v>94</v>
      </c>
      <c r="CM439" s="2"/>
      <c r="CN439" s="2"/>
      <c r="CO439" s="2"/>
      <c r="CP439" s="2"/>
      <c r="CQ439" s="2"/>
      <c r="CR439" s="2"/>
      <c r="CS439" s="2"/>
      <c r="CT439" s="2"/>
      <c r="CU439" s="2"/>
    </row>
    <row r="440" ht="48.15" customHeight="1">
      <c r="CL440" s="371"/>
      <c r="CM440" t="s" s="372">
        <v>340</v>
      </c>
      <c r="CN440" t="s" s="372">
        <v>341</v>
      </c>
      <c r="CO440" t="s" s="372">
        <v>342</v>
      </c>
      <c r="CP440" t="s" s="372">
        <v>343</v>
      </c>
      <c r="CQ440" t="s" s="372">
        <v>344</v>
      </c>
      <c r="CR440" t="s" s="372">
        <v>345</v>
      </c>
      <c r="CS440" t="s" s="372">
        <v>53</v>
      </c>
      <c r="CT440" t="s" s="372">
        <v>67</v>
      </c>
      <c r="CU440" t="s" s="372">
        <v>160</v>
      </c>
    </row>
    <row r="441" ht="30.25" customHeight="1">
      <c r="CL441" t="s" s="373">
        <v>35</v>
      </c>
      <c r="CM441" s="374"/>
      <c r="CN441" s="375"/>
      <c r="CO441" s="375"/>
      <c r="CP441" s="375"/>
      <c r="CQ441" s="375"/>
      <c r="CR441" s="375"/>
      <c r="CS441" s="376" cm="1">
        <f t="array" ref="CS441">SUM(CM441:CR441)</f>
        <v>0</v>
      </c>
      <c r="CT441" s="377"/>
      <c r="CU441" s="377"/>
    </row>
    <row r="442" ht="29.95" customHeight="1">
      <c r="CL442" t="s" s="364">
        <v>47</v>
      </c>
      <c r="CM442" s="345">
        <v>1</v>
      </c>
      <c r="CN442" s="378"/>
      <c r="CO442" s="339">
        <v>1</v>
      </c>
      <c r="CP442" s="378"/>
      <c r="CQ442" s="378"/>
      <c r="CR442" s="378"/>
      <c r="CS442" s="379" cm="1">
        <f t="array" ref="CS442">SUM(CM442:CR442)</f>
        <v>2</v>
      </c>
      <c r="CT442" s="380"/>
      <c r="CU442" s="380"/>
    </row>
    <row r="443" ht="29.95" customHeight="1">
      <c r="CL443" t="s" s="364">
        <v>10</v>
      </c>
      <c r="CM443" s="381"/>
      <c r="CN443" s="378"/>
      <c r="CO443" s="343">
        <v>1</v>
      </c>
      <c r="CP443" s="343">
        <v>1</v>
      </c>
      <c r="CQ443" s="378"/>
      <c r="CR443" s="378"/>
      <c r="CS443" s="379" cm="1">
        <f t="array" ref="CS443">SUM(CM443:CR443)</f>
        <v>2</v>
      </c>
      <c r="CT443" s="380"/>
      <c r="CU443" s="380"/>
    </row>
    <row r="444" ht="24.9" customHeight="1">
      <c r="CL444" t="s" s="364">
        <v>32</v>
      </c>
      <c r="CM444" s="345">
        <v>1</v>
      </c>
      <c r="CN444" s="378"/>
      <c r="CO444" s="378"/>
      <c r="CP444" s="339">
        <v>1</v>
      </c>
      <c r="CQ444" s="378"/>
      <c r="CR444" s="378"/>
      <c r="CS444" s="379" cm="1">
        <f t="array" ref="CS444">SUM(CM444:CR444)</f>
        <v>2</v>
      </c>
      <c r="CT444" s="380"/>
      <c r="CU444" s="380"/>
    </row>
    <row r="445" ht="29.95" customHeight="1">
      <c r="CL445" t="s" s="364">
        <v>16</v>
      </c>
      <c r="CM445" s="381"/>
      <c r="CN445" s="339">
        <v>1</v>
      </c>
      <c r="CO445" s="339">
        <v>1</v>
      </c>
      <c r="CP445" s="378"/>
      <c r="CQ445" s="378"/>
      <c r="CR445" s="378"/>
      <c r="CS445" s="379" cm="1">
        <f t="array" ref="CS445">SUM(CM445:CR445)</f>
        <v>2</v>
      </c>
      <c r="CT445" s="380"/>
      <c r="CU445" s="380"/>
    </row>
    <row r="446" ht="29.95" customHeight="1">
      <c r="CL446" t="s" s="364">
        <v>18</v>
      </c>
      <c r="CM446" s="381"/>
      <c r="CN446" s="378"/>
      <c r="CO446" s="382"/>
      <c r="CP446" s="378"/>
      <c r="CQ446" s="378"/>
      <c r="CR446" s="378"/>
      <c r="CS446" s="379" cm="1">
        <f t="array" ref="CS446">SUM(CM446:CR446)</f>
        <v>0</v>
      </c>
      <c r="CT446" s="380"/>
      <c r="CU446" s="380"/>
    </row>
    <row r="447" ht="29.95" customHeight="1">
      <c r="CL447" t="s" s="364">
        <v>287</v>
      </c>
      <c r="CM447" s="381"/>
      <c r="CN447" s="378"/>
      <c r="CO447" s="378"/>
      <c r="CP447" s="378"/>
      <c r="CQ447" s="378"/>
      <c r="CR447" s="378"/>
      <c r="CS447" s="379" cm="1">
        <f t="array" ref="CS447">SUM(CM447:CR447)</f>
        <v>0</v>
      </c>
      <c r="CT447" s="380"/>
      <c r="CU447" s="380"/>
    </row>
    <row r="448" ht="29.95" customHeight="1">
      <c r="CL448" t="s" s="364">
        <v>45</v>
      </c>
      <c r="CM448" s="345">
        <v>1</v>
      </c>
      <c r="CN448" s="339">
        <v>1</v>
      </c>
      <c r="CO448" s="339">
        <v>1</v>
      </c>
      <c r="CP448" s="378"/>
      <c r="CQ448" s="378"/>
      <c r="CR448" s="378"/>
      <c r="CS448" s="379" cm="1">
        <f t="array" ref="CS448">SUM(CM448:CR448)</f>
        <v>3</v>
      </c>
      <c r="CT448" s="380"/>
      <c r="CU448" s="380"/>
    </row>
    <row r="449" ht="29.95" customHeight="1">
      <c r="CL449" t="s" s="364">
        <v>154</v>
      </c>
      <c r="CM449" s="381"/>
      <c r="CN449" s="378"/>
      <c r="CO449" s="378"/>
      <c r="CP449" s="378"/>
      <c r="CQ449" s="378"/>
      <c r="CR449" s="378"/>
      <c r="CS449" s="379" cm="1">
        <f t="array" ref="CS449">SUM(CM449:CR449)</f>
        <v>0</v>
      </c>
      <c r="CT449" s="380"/>
      <c r="CU449" s="380"/>
    </row>
    <row r="450" ht="29.95" customHeight="1">
      <c r="CL450" t="s" s="364">
        <v>257</v>
      </c>
      <c r="CM450" s="345">
        <v>1</v>
      </c>
      <c r="CN450" s="339">
        <v>1</v>
      </c>
      <c r="CO450" s="378"/>
      <c r="CP450" s="382"/>
      <c r="CQ450" s="378"/>
      <c r="CR450" s="378"/>
      <c r="CS450" s="379" cm="1">
        <f t="array" ref="CS450">SUM(CM450:CR450)</f>
        <v>2</v>
      </c>
      <c r="CT450" s="380"/>
      <c r="CU450" s="380"/>
    </row>
    <row r="451" ht="29.95" customHeight="1">
      <c r="CL451" t="s" s="364">
        <v>391</v>
      </c>
      <c r="CM451" s="381"/>
      <c r="CN451" s="378"/>
      <c r="CO451" s="378"/>
      <c r="CP451" s="382"/>
      <c r="CQ451" s="378"/>
      <c r="CR451" s="378"/>
      <c r="CS451" s="379" cm="1">
        <f t="array" ref="CS451">SUM(CM451:CR451)</f>
        <v>0</v>
      </c>
      <c r="CT451" s="380"/>
      <c r="CU451" s="380"/>
    </row>
    <row r="452" ht="29.95" customHeight="1">
      <c r="CL452" t="s" s="364">
        <v>393</v>
      </c>
      <c r="CM452" s="381"/>
      <c r="CN452" s="378"/>
      <c r="CO452" s="378"/>
      <c r="CP452" s="382"/>
      <c r="CQ452" s="378"/>
      <c r="CR452" s="378"/>
      <c r="CS452" s="379" cm="1">
        <f t="array" ref="CS452">SUM(CM452:CR452)</f>
        <v>0</v>
      </c>
      <c r="CT452" s="380"/>
      <c r="CU452" s="380"/>
    </row>
    <row r="453" ht="29.95" customHeight="1">
      <c r="CL453" t="s" s="364">
        <v>395</v>
      </c>
      <c r="CM453" s="381"/>
      <c r="CN453" s="378"/>
      <c r="CO453" s="378"/>
      <c r="CP453" s="378"/>
      <c r="CQ453" s="378"/>
      <c r="CR453" s="378"/>
      <c r="CS453" s="379" cm="1">
        <f t="array" ref="CS453">SUM(CM453:CR453)</f>
        <v>0</v>
      </c>
      <c r="CT453" s="380"/>
      <c r="CU453" s="380"/>
    </row>
    <row r="454" ht="29.95" customHeight="1">
      <c r="CL454" t="s" s="364">
        <v>155</v>
      </c>
      <c r="CM454" s="381"/>
      <c r="CN454" s="378"/>
      <c r="CO454" s="378"/>
      <c r="CP454" s="382"/>
      <c r="CQ454" s="378"/>
      <c r="CR454" s="378"/>
      <c r="CS454" s="379" cm="1">
        <f t="array" ref="CS454">SUM(CM454:CR454)</f>
        <v>0</v>
      </c>
      <c r="CT454" s="380"/>
      <c r="CU454" s="380"/>
    </row>
    <row r="455" ht="29.95" customHeight="1">
      <c r="CL455" t="s" s="364">
        <v>37</v>
      </c>
      <c r="CM455" s="381"/>
      <c r="CN455" s="343">
        <v>1</v>
      </c>
      <c r="CO455" s="343">
        <v>1</v>
      </c>
      <c r="CP455" s="343">
        <v>1</v>
      </c>
      <c r="CQ455" s="343">
        <v>1</v>
      </c>
      <c r="CR455" s="378"/>
      <c r="CS455" s="379" cm="1">
        <f t="array" ref="CS455">SUM(CM455:CR455)</f>
        <v>4</v>
      </c>
      <c r="CT455" s="380"/>
      <c r="CU455" s="380"/>
    </row>
    <row r="456" ht="29.95" customHeight="1">
      <c r="CL456" t="s" s="364">
        <v>19</v>
      </c>
      <c r="CM456" s="381"/>
      <c r="CN456" s="378"/>
      <c r="CO456" s="378"/>
      <c r="CP456" s="382"/>
      <c r="CQ456" s="378"/>
      <c r="CR456" s="378"/>
      <c r="CS456" s="379" cm="1">
        <f t="array" ref="CS456">SUM(CM456:CR456)</f>
        <v>0</v>
      </c>
      <c r="CT456" s="380"/>
      <c r="CU456" s="380"/>
    </row>
    <row r="457" ht="29.95" customHeight="1">
      <c r="CL457" t="s" s="364">
        <v>239</v>
      </c>
      <c r="CM457" s="381"/>
      <c r="CN457" s="378"/>
      <c r="CO457" s="378"/>
      <c r="CP457" s="382"/>
      <c r="CQ457" s="378"/>
      <c r="CR457" s="378"/>
      <c r="CS457" s="379" cm="1">
        <f t="array" ref="CS457">SUM(CM457:CR457)</f>
        <v>0</v>
      </c>
      <c r="CT457" s="380"/>
      <c r="CU457" s="380"/>
    </row>
    <row r="458" ht="29.95" customHeight="1">
      <c r="CL458" t="s" s="364">
        <v>262</v>
      </c>
      <c r="CM458" s="381"/>
      <c r="CN458" s="378"/>
      <c r="CO458" s="378"/>
      <c r="CP458" s="378"/>
      <c r="CQ458" s="378"/>
      <c r="CR458" s="378"/>
      <c r="CS458" s="379" cm="1">
        <f t="array" ref="CS458">SUM(CM458:CR458)</f>
        <v>0</v>
      </c>
      <c r="CT458" s="380"/>
      <c r="CU458" s="380"/>
    </row>
    <row r="459" ht="31.75" customHeight="1">
      <c r="CL459" t="s" s="364">
        <v>265</v>
      </c>
      <c r="CM459" s="345">
        <v>1</v>
      </c>
      <c r="CN459" s="339">
        <v>1</v>
      </c>
      <c r="CO459" s="339">
        <v>1</v>
      </c>
      <c r="CP459" s="339">
        <v>1</v>
      </c>
      <c r="CQ459" s="378"/>
      <c r="CR459" s="378"/>
      <c r="CS459" s="379" cm="1">
        <f t="array" ref="CS459">SUM(CM459:CR459)</f>
        <v>4</v>
      </c>
      <c r="CT459" s="380"/>
      <c r="CU459" s="380"/>
    </row>
    <row r="460" ht="29.95" customHeight="1">
      <c r="CL460" t="s" s="364">
        <v>250</v>
      </c>
      <c r="CM460" s="345">
        <v>1</v>
      </c>
      <c r="CN460" s="339">
        <v>1</v>
      </c>
      <c r="CO460" s="378"/>
      <c r="CP460" s="339">
        <v>1</v>
      </c>
      <c r="CQ460" s="378"/>
      <c r="CR460" s="378"/>
      <c r="CS460" s="379" cm="1">
        <f t="array" ref="CS460">SUM(CM460:CR460)</f>
        <v>3</v>
      </c>
      <c r="CT460" s="380"/>
      <c r="CU460" s="380"/>
    </row>
    <row r="461" ht="29.95" customHeight="1">
      <c r="CL461" t="s" s="364">
        <v>268</v>
      </c>
      <c r="CM461" s="381"/>
      <c r="CN461" s="378"/>
      <c r="CO461" s="378"/>
      <c r="CP461" s="382"/>
      <c r="CQ461" s="378"/>
      <c r="CR461" s="378"/>
      <c r="CS461" s="379" cm="1">
        <f t="array" ref="CS461">SUM(CM461:CR461)</f>
        <v>0</v>
      </c>
      <c r="CT461" s="380"/>
      <c r="CU461" s="380"/>
    </row>
    <row r="462" ht="29.95" customHeight="1">
      <c r="CL462" t="s" s="364">
        <v>156</v>
      </c>
      <c r="CM462" s="381"/>
      <c r="CN462" s="378"/>
      <c r="CO462" s="378"/>
      <c r="CP462" s="382"/>
      <c r="CQ462" s="339">
        <v>1</v>
      </c>
      <c r="CR462" s="378"/>
      <c r="CS462" s="379" cm="1">
        <f t="array" ref="CS462">SUM(CM462:CR462)</f>
        <v>1</v>
      </c>
      <c r="CT462" s="380"/>
      <c r="CU462" s="380"/>
    </row>
    <row r="463" ht="29.95" customHeight="1">
      <c r="CL463" t="s" s="364">
        <v>259</v>
      </c>
      <c r="CM463" s="381"/>
      <c r="CN463" s="378"/>
      <c r="CO463" s="378"/>
      <c r="CP463" s="382"/>
      <c r="CQ463" s="378"/>
      <c r="CR463" s="378"/>
      <c r="CS463" s="379" cm="1">
        <f t="array" ref="CS463">SUM(CM463:CR463)</f>
        <v>0</v>
      </c>
      <c r="CT463" s="380"/>
      <c r="CU463" s="380"/>
    </row>
    <row r="464" ht="29.95" customHeight="1">
      <c r="CL464" t="s" s="364">
        <v>274</v>
      </c>
      <c r="CM464" s="381"/>
      <c r="CN464" s="378"/>
      <c r="CO464" s="378"/>
      <c r="CP464" s="382"/>
      <c r="CQ464" s="378"/>
      <c r="CR464" s="378"/>
      <c r="CS464" s="379" cm="1">
        <f t="array" ref="CS464">SUM(CM464:CR464)</f>
        <v>0</v>
      </c>
      <c r="CT464" s="380"/>
      <c r="CU464" s="380"/>
    </row>
    <row r="465" ht="29.95" customHeight="1">
      <c r="CL465" t="s" s="364">
        <v>48</v>
      </c>
      <c r="CM465" s="381"/>
      <c r="CN465" s="378"/>
      <c r="CO465" s="392">
        <v>1</v>
      </c>
      <c r="CP465" s="382"/>
      <c r="CQ465" s="378"/>
      <c r="CR465" s="378"/>
      <c r="CS465" s="379" cm="1">
        <f t="array" ref="CS465">SUM(CM465:CR465)</f>
        <v>1</v>
      </c>
      <c r="CT465" s="380"/>
      <c r="CU465" s="380"/>
    </row>
    <row r="466" ht="29.95" customHeight="1">
      <c r="CL466" t="s" s="364">
        <v>49</v>
      </c>
      <c r="CM466" s="381"/>
      <c r="CN466" s="378"/>
      <c r="CO466" s="392">
        <v>1</v>
      </c>
      <c r="CP466" s="382"/>
      <c r="CQ466" s="378"/>
      <c r="CR466" s="378"/>
      <c r="CS466" s="379" cm="1">
        <f t="array" ref="CS466">SUM(CM466:CR466)</f>
        <v>1</v>
      </c>
      <c r="CT466" s="380"/>
      <c r="CU466" s="380"/>
    </row>
    <row r="467" ht="29.95" customHeight="1">
      <c r="CL467" t="s" s="364">
        <v>50</v>
      </c>
      <c r="CM467" s="381"/>
      <c r="CN467" s="378"/>
      <c r="CO467" s="378"/>
      <c r="CP467" s="378"/>
      <c r="CQ467" s="339">
        <v>1</v>
      </c>
      <c r="CR467" s="378"/>
      <c r="CS467" s="379" cm="1">
        <f t="array" ref="CS467">SUM(CM467:CR467)</f>
        <v>1</v>
      </c>
      <c r="CT467" s="380"/>
      <c r="CU467" s="380"/>
    </row>
    <row r="468" ht="29.95" customHeight="1">
      <c r="CL468" t="s" s="364">
        <v>51</v>
      </c>
      <c r="CM468" s="381"/>
      <c r="CN468" s="378"/>
      <c r="CO468" s="378"/>
      <c r="CP468" s="382"/>
      <c r="CQ468" s="378"/>
      <c r="CR468" s="378"/>
      <c r="CS468" s="379" cm="1">
        <f t="array" ref="CS468">SUM(CM468:CR468)</f>
        <v>0</v>
      </c>
      <c r="CT468" s="380"/>
      <c r="CU468" s="380"/>
    </row>
    <row r="469" ht="29.95" customHeight="1">
      <c r="CL469" t="s" s="364">
        <v>52</v>
      </c>
      <c r="CM469" s="381"/>
      <c r="CN469" s="378"/>
      <c r="CO469" s="378"/>
      <c r="CP469" s="378"/>
      <c r="CQ469" s="378"/>
      <c r="CR469" s="378"/>
      <c r="CS469" s="379" cm="1">
        <f t="array" ref="CS469">SUM(CM469:CR469)</f>
        <v>0</v>
      </c>
      <c r="CT469" s="380"/>
      <c r="CU469" s="380"/>
    </row>
    <row r="470" ht="29.95" customHeight="1">
      <c r="CL470" t="s" s="364">
        <v>115</v>
      </c>
      <c r="CM470" s="381"/>
      <c r="CN470" s="378"/>
      <c r="CO470" s="392">
        <v>1</v>
      </c>
      <c r="CP470" s="382"/>
      <c r="CQ470" s="378"/>
      <c r="CR470" s="378"/>
      <c r="CS470" s="379" cm="1">
        <f t="array" ref="CS470">SUM(CM470:CR470)</f>
        <v>1</v>
      </c>
      <c r="CT470" s="379">
        <v>2</v>
      </c>
      <c r="CU470" s="380"/>
    </row>
    <row r="471" ht="29.95" customHeight="1">
      <c r="CL471" t="s" s="364">
        <v>197</v>
      </c>
      <c r="CM471" s="381"/>
      <c r="CN471" s="378"/>
      <c r="CO471" s="378"/>
      <c r="CP471" s="382"/>
      <c r="CQ471" s="378"/>
      <c r="CR471" s="378"/>
      <c r="CS471" s="379" cm="1">
        <f t="array" ref="CS471">SUM(CM471:CR471)</f>
        <v>0</v>
      </c>
      <c r="CT471" s="380"/>
      <c r="CU471" s="380"/>
    </row>
    <row r="472" ht="29.95" customHeight="1">
      <c r="CL472" t="s" s="364">
        <v>46</v>
      </c>
      <c r="CM472" s="345">
        <v>1</v>
      </c>
      <c r="CN472" s="378"/>
      <c r="CO472" s="378"/>
      <c r="CP472" s="382"/>
      <c r="CQ472" s="378"/>
      <c r="CR472" s="378"/>
      <c r="CS472" s="379" cm="1">
        <f t="array" ref="CS472">SUM(CM472:CR472)</f>
        <v>1</v>
      </c>
      <c r="CT472" s="380"/>
      <c r="CU472" s="380"/>
    </row>
    <row r="473" ht="29.95" customHeight="1">
      <c r="CL473" t="s" s="364">
        <v>191</v>
      </c>
      <c r="CM473" s="381"/>
      <c r="CN473" s="339">
        <v>1</v>
      </c>
      <c r="CO473" s="339">
        <v>1</v>
      </c>
      <c r="CP473" s="382"/>
      <c r="CQ473" s="378"/>
      <c r="CR473" s="378"/>
      <c r="CS473" s="379" cm="1">
        <f t="array" ref="CS473">SUM(CM473:CR473)</f>
        <v>2</v>
      </c>
      <c r="CT473" s="380"/>
      <c r="CU473" s="380"/>
    </row>
    <row r="474" ht="29.95" customHeight="1">
      <c r="CL474" t="s" s="364">
        <v>109</v>
      </c>
      <c r="CM474" s="381"/>
      <c r="CN474" s="339">
        <v>1</v>
      </c>
      <c r="CO474" s="378"/>
      <c r="CP474" s="397">
        <v>1</v>
      </c>
      <c r="CQ474" s="378"/>
      <c r="CR474" s="378"/>
      <c r="CS474" s="379" cm="1">
        <f t="array" ref="CS474">SUM(CM474:CR474)</f>
        <v>2</v>
      </c>
      <c r="CT474" s="380"/>
      <c r="CU474" s="380"/>
    </row>
    <row r="475" ht="29.95" customHeight="1">
      <c r="CL475" t="s" s="364">
        <v>270</v>
      </c>
      <c r="CM475" s="381"/>
      <c r="CN475" s="378"/>
      <c r="CO475" s="378"/>
      <c r="CP475" s="382"/>
      <c r="CQ475" s="378"/>
      <c r="CR475" s="378"/>
      <c r="CS475" s="379" cm="1">
        <f t="array" ref="CS475">SUM(CM475:CR475)</f>
        <v>0</v>
      </c>
      <c r="CT475" s="380"/>
      <c r="CU475" s="380"/>
    </row>
    <row r="476" ht="29.95" customHeight="1">
      <c r="CL476" t="s" s="364">
        <v>272</v>
      </c>
      <c r="CM476" s="381"/>
      <c r="CN476" s="378"/>
      <c r="CO476" s="378"/>
      <c r="CP476" s="382"/>
      <c r="CQ476" s="378"/>
      <c r="CR476" s="378"/>
      <c r="CS476" s="379" cm="1">
        <f t="array" ref="CS476">SUM(CM476:CR476)</f>
        <v>0</v>
      </c>
      <c r="CT476" s="380"/>
      <c r="CU476" s="380"/>
    </row>
    <row r="477" ht="29.95" customHeight="1">
      <c r="CL477" t="s" s="364">
        <v>319</v>
      </c>
      <c r="CM477" s="381"/>
      <c r="CN477" s="378"/>
      <c r="CO477" s="378"/>
      <c r="CP477" s="382"/>
      <c r="CQ477" s="378"/>
      <c r="CR477" s="378"/>
      <c r="CS477" s="379" cm="1">
        <f t="array" ref="CS477">SUM(CM477:CR477)</f>
        <v>0</v>
      </c>
      <c r="CT477" s="380"/>
      <c r="CU477" s="380"/>
    </row>
    <row r="478" ht="29.95" customHeight="1">
      <c r="CL478" t="s" s="364">
        <v>352</v>
      </c>
      <c r="CM478" s="345">
        <v>1</v>
      </c>
      <c r="CN478" s="339">
        <v>1</v>
      </c>
      <c r="CO478" s="339">
        <v>1</v>
      </c>
      <c r="CP478" s="382"/>
      <c r="CQ478" s="378"/>
      <c r="CR478" s="378"/>
      <c r="CS478" s="379" cm="1">
        <f t="array" ref="CS478">SUM(CM478:CR478)</f>
        <v>3</v>
      </c>
      <c r="CT478" s="380"/>
      <c r="CU478" s="380"/>
    </row>
    <row r="479" ht="29.95" customHeight="1">
      <c r="CL479" t="s" s="364">
        <v>349</v>
      </c>
      <c r="CM479" s="345">
        <v>1</v>
      </c>
      <c r="CN479" s="378"/>
      <c r="CO479" s="378"/>
      <c r="CP479" s="339">
        <v>1</v>
      </c>
      <c r="CQ479" s="378"/>
      <c r="CR479" s="378"/>
      <c r="CS479" s="379" cm="1">
        <f t="array" ref="CS479">SUM(CM479:CR479)</f>
        <v>2</v>
      </c>
      <c r="CT479" s="380"/>
      <c r="CU479" s="380"/>
    </row>
    <row r="480" ht="29.95" customHeight="1">
      <c r="CL480" t="s" s="264">
        <v>358</v>
      </c>
      <c r="CM480" s="345">
        <v>1</v>
      </c>
      <c r="CN480" s="378"/>
      <c r="CO480" s="339">
        <v>1</v>
      </c>
      <c r="CP480" s="382"/>
      <c r="CQ480" s="378"/>
      <c r="CR480" s="378"/>
      <c r="CS480" s="379" cm="1">
        <f t="array" ref="CS480">SUM(CM480:CR480)</f>
        <v>2</v>
      </c>
      <c r="CT480" s="380"/>
      <c r="CU480" s="380"/>
    </row>
    <row r="481" ht="29.95" customHeight="1">
      <c r="CL481" t="s" s="264">
        <v>359</v>
      </c>
      <c r="CM481" s="345">
        <v>1</v>
      </c>
      <c r="CN481" s="339">
        <v>1</v>
      </c>
      <c r="CO481" s="378"/>
      <c r="CP481" s="339">
        <v>1</v>
      </c>
      <c r="CQ481" s="378"/>
      <c r="CR481" s="378"/>
      <c r="CS481" s="379" cm="1">
        <f t="array" ref="CS481">SUM(CM481:CR481)</f>
        <v>3</v>
      </c>
      <c r="CT481" s="380"/>
      <c r="CU481" s="380"/>
    </row>
    <row r="482" ht="29.95" customHeight="1">
      <c r="CL482" t="s" s="264">
        <v>360</v>
      </c>
      <c r="CM482" s="381"/>
      <c r="CN482" s="339">
        <v>1</v>
      </c>
      <c r="CO482" s="378"/>
      <c r="CP482" s="382"/>
      <c r="CQ482" s="378"/>
      <c r="CR482" s="378"/>
      <c r="CS482" s="379" cm="1">
        <f t="array" ref="CS482">SUM(CM482:CR482)</f>
        <v>1</v>
      </c>
      <c r="CT482" s="380"/>
      <c r="CU482" s="380"/>
    </row>
    <row r="483" ht="29.95" customHeight="1">
      <c r="CL483" t="s" s="264">
        <v>363</v>
      </c>
      <c r="CM483" s="345">
        <v>1</v>
      </c>
      <c r="CN483" s="378"/>
      <c r="CO483" s="339">
        <v>1</v>
      </c>
      <c r="CP483" s="382"/>
      <c r="CQ483" s="378"/>
      <c r="CR483" s="378"/>
      <c r="CS483" s="379" cm="1">
        <f t="array" ref="CS483">SUM(CM483:CR483)</f>
        <v>2</v>
      </c>
      <c r="CT483" s="380"/>
      <c r="CU483" s="380"/>
    </row>
    <row r="484" ht="29.95" customHeight="1">
      <c r="CL484" t="s" s="264">
        <v>355</v>
      </c>
      <c r="CM484" s="345">
        <v>1</v>
      </c>
      <c r="CN484" s="339">
        <v>1</v>
      </c>
      <c r="CO484" s="339">
        <v>1</v>
      </c>
      <c r="CP484" s="382"/>
      <c r="CQ484" s="378"/>
      <c r="CR484" s="378"/>
      <c r="CS484" s="379" cm="1">
        <f t="array" ref="CS484">SUM(CM484:CR484)</f>
        <v>3</v>
      </c>
      <c r="CT484" s="380"/>
      <c r="CU484" s="380"/>
    </row>
    <row r="485" ht="29.95" customHeight="1">
      <c r="CL485" t="s" s="264">
        <v>357</v>
      </c>
      <c r="CM485" s="286"/>
      <c r="CN485" s="378"/>
      <c r="CO485" s="287"/>
      <c r="CP485" s="382"/>
      <c r="CQ485" s="378"/>
      <c r="CR485" s="378"/>
      <c r="CS485" s="379" cm="1">
        <f t="array" ref="CS485">SUM(CM485:CR485)</f>
        <v>0</v>
      </c>
      <c r="CT485" s="380"/>
      <c r="CU485" s="380"/>
    </row>
    <row r="486" ht="29.95" customHeight="1">
      <c r="CL486" t="s" s="255">
        <v>365</v>
      </c>
      <c r="CM486" s="286"/>
      <c r="CN486" s="378"/>
      <c r="CO486" s="287"/>
      <c r="CP486" s="382"/>
      <c r="CQ486" s="378"/>
      <c r="CR486" s="378"/>
      <c r="CS486" s="379" cm="1">
        <f t="array" ref="CS486">SUM(CM486:CR486)</f>
        <v>0</v>
      </c>
      <c r="CT486" s="380"/>
      <c r="CU486" s="380"/>
    </row>
    <row r="487" ht="29.95" customHeight="1">
      <c r="CL487" t="s" s="264">
        <v>368</v>
      </c>
      <c r="CM487" s="286"/>
      <c r="CN487" s="378"/>
      <c r="CO487" s="287"/>
      <c r="CP487" s="382"/>
      <c r="CQ487" s="378"/>
      <c r="CR487" s="378"/>
      <c r="CS487" s="379" cm="1">
        <f t="array" ref="CS487">SUM(CM487:CR487)</f>
        <v>0</v>
      </c>
      <c r="CT487" s="380"/>
      <c r="CU487" s="380"/>
    </row>
    <row r="488" ht="29.95" customHeight="1">
      <c r="CL488" t="s" s="264">
        <v>371</v>
      </c>
      <c r="CM488" s="286"/>
      <c r="CN488" s="378"/>
      <c r="CO488" s="287"/>
      <c r="CP488" s="382"/>
      <c r="CQ488" s="378"/>
      <c r="CR488" s="378"/>
      <c r="CS488" s="379" cm="1">
        <f t="array" ref="CS488">SUM(CM488:CR488)</f>
        <v>0</v>
      </c>
      <c r="CT488" s="380"/>
      <c r="CU488" s="380"/>
    </row>
    <row r="489" ht="29.95" customHeight="1">
      <c r="CL489" t="s" s="364">
        <v>102</v>
      </c>
      <c r="CM489" s="381"/>
      <c r="CN489" s="339">
        <v>1</v>
      </c>
      <c r="CO489" s="378"/>
      <c r="CP489" s="382"/>
      <c r="CQ489" s="378"/>
      <c r="CR489" s="378"/>
      <c r="CS489" s="379" cm="1">
        <f t="array" ref="CS489">SUM(CM489:CR489)</f>
        <v>1</v>
      </c>
      <c r="CT489" s="380"/>
      <c r="CU489" s="380"/>
    </row>
    <row r="490" ht="29.95" customHeight="1">
      <c r="CL490" t="s" s="364">
        <v>102</v>
      </c>
      <c r="CM490" s="381"/>
      <c r="CN490" s="378"/>
      <c r="CO490" s="378"/>
      <c r="CP490" s="378"/>
      <c r="CQ490" s="378"/>
      <c r="CR490" s="378"/>
      <c r="CS490" s="379" cm="1">
        <f t="array" ref="CS490">SUM(CM490:CR490)</f>
        <v>0</v>
      </c>
      <c r="CT490" s="380"/>
      <c r="CU490" s="380"/>
    </row>
    <row r="491" ht="29.95" customHeight="1">
      <c r="CL491" t="s" s="386">
        <v>30</v>
      </c>
      <c r="CM491" s="387" cm="1">
        <f t="array" ref="CM491">SUM(CM441:CM490)</f>
        <v>13</v>
      </c>
      <c r="CN491" s="379" cm="1">
        <f t="array" ref="CN491">SUM(CN441:CN490)</f>
        <v>13</v>
      </c>
      <c r="CO491" s="379" cm="1">
        <f t="array" ref="CO491">SUM(CO441:CO490)</f>
        <v>14</v>
      </c>
      <c r="CP491" s="379" cm="1">
        <f t="array" ref="CP491">SUM(CP441:CP490)</f>
        <v>8</v>
      </c>
      <c r="CQ491" s="379" cm="1">
        <f t="array" ref="CQ491">SUM(CQ441:CQ490)</f>
        <v>3</v>
      </c>
      <c r="CR491" s="379" cm="1">
        <f t="array" ref="CR491">SUM(CR441:CR490)</f>
        <v>0</v>
      </c>
      <c r="CS491" s="379" cm="1">
        <f t="array" ref="CS491">SUM(CS441:CS490)</f>
        <v>51</v>
      </c>
      <c r="CT491" s="380"/>
      <c r="CU491" s="380"/>
    </row>
    <row r="493" ht="27.65" customHeight="1">
      <c r="CV493" t="s" s="2">
        <v>103</v>
      </c>
      <c r="CW493" s="2"/>
      <c r="CX493" s="2"/>
      <c r="CY493" s="2"/>
      <c r="CZ493" s="2"/>
      <c r="DA493" s="2"/>
      <c r="DB493" s="2"/>
      <c r="DC493" s="2"/>
      <c r="DD493" s="2"/>
      <c r="DE493" s="2"/>
      <c r="DF493" s="2"/>
    </row>
    <row r="494" ht="48.85" customHeight="1">
      <c r="CV494" s="371"/>
      <c r="CW494" t="s" s="372">
        <v>340</v>
      </c>
      <c r="CX494" t="s" s="372">
        <v>341</v>
      </c>
      <c r="CY494" t="s" s="372">
        <v>342</v>
      </c>
      <c r="CZ494" t="s" s="372">
        <v>343</v>
      </c>
      <c r="DA494" t="s" s="372">
        <v>344</v>
      </c>
      <c r="DB494" t="s" s="372">
        <v>345</v>
      </c>
      <c r="DC494" t="s" s="354">
        <v>425</v>
      </c>
      <c r="DD494" t="s" s="354">
        <v>68</v>
      </c>
      <c r="DE494" t="s" s="354">
        <v>69</v>
      </c>
      <c r="DF494" t="s" s="354">
        <v>426</v>
      </c>
    </row>
    <row r="495" ht="30.7" customHeight="1">
      <c r="CV495" t="s" s="399">
        <v>35</v>
      </c>
      <c r="CW495" s="374"/>
      <c r="CX495" s="375"/>
      <c r="CY495" s="375"/>
      <c r="CZ495" s="375"/>
      <c r="DA495" s="375"/>
      <c r="DB495" s="375"/>
      <c r="DC495" s="375"/>
      <c r="DD495" s="375"/>
      <c r="DE495" s="375"/>
      <c r="DF495" s="375"/>
    </row>
    <row r="496" ht="30.4" customHeight="1">
      <c r="CV496" t="s" s="386">
        <v>47</v>
      </c>
      <c r="CW496" s="381"/>
      <c r="CX496" s="378"/>
      <c r="CY496" s="378"/>
      <c r="CZ496" s="378"/>
      <c r="DA496" s="378"/>
      <c r="DB496" s="378"/>
      <c r="DC496" s="378"/>
      <c r="DD496" s="378"/>
      <c r="DE496" s="378"/>
      <c r="DF496" s="378"/>
    </row>
    <row r="497" ht="30.4" customHeight="1">
      <c r="CV497" t="s" s="386">
        <v>10</v>
      </c>
      <c r="CW497" s="381"/>
      <c r="CX497" s="378"/>
      <c r="CY497" s="378"/>
      <c r="CZ497" s="378"/>
      <c r="DA497" s="378"/>
      <c r="DB497" s="378"/>
      <c r="DC497" s="378"/>
      <c r="DD497" s="378"/>
      <c r="DE497" s="378"/>
      <c r="DF497" s="378"/>
    </row>
    <row r="498" ht="48.55" customHeight="1">
      <c r="CV498" t="s" s="386">
        <v>32</v>
      </c>
      <c r="CW498" s="381"/>
      <c r="CX498" s="378"/>
      <c r="CY498" s="378"/>
      <c r="CZ498" s="382"/>
      <c r="DA498" s="378"/>
      <c r="DB498" s="378"/>
      <c r="DC498" s="378"/>
      <c r="DD498" s="378"/>
      <c r="DE498" s="378"/>
      <c r="DF498" s="378"/>
    </row>
    <row r="499" ht="30.4" customHeight="1">
      <c r="CV499" t="s" s="386">
        <v>16</v>
      </c>
      <c r="CW499" s="381"/>
      <c r="CX499" s="378"/>
      <c r="CY499" s="378"/>
      <c r="CZ499" s="378"/>
      <c r="DA499" s="378"/>
      <c r="DB499" s="378"/>
      <c r="DC499" s="378"/>
      <c r="DD499" s="378"/>
      <c r="DE499" s="378"/>
      <c r="DF499" s="378"/>
    </row>
    <row r="500" ht="30.4" customHeight="1">
      <c r="CV500" t="s" s="386">
        <v>18</v>
      </c>
      <c r="CW500" s="381"/>
      <c r="CX500" s="378"/>
      <c r="CY500" s="382"/>
      <c r="CZ500" s="378"/>
      <c r="DA500" s="378"/>
      <c r="DB500" s="378"/>
      <c r="DC500" s="378"/>
      <c r="DD500" s="378"/>
      <c r="DE500" s="378"/>
      <c r="DF500" s="378"/>
    </row>
    <row r="501" ht="30.4" customHeight="1">
      <c r="CV501" t="s" s="386">
        <v>287</v>
      </c>
      <c r="CW501" s="381"/>
      <c r="CX501" s="378"/>
      <c r="CY501" s="378"/>
      <c r="CZ501" s="378"/>
      <c r="DA501" s="378"/>
      <c r="DB501" s="378"/>
      <c r="DC501" s="378"/>
      <c r="DD501" s="378"/>
      <c r="DE501" s="378"/>
      <c r="DF501" s="378"/>
    </row>
    <row r="502" ht="30.4" customHeight="1">
      <c r="CV502" t="s" s="386">
        <v>45</v>
      </c>
      <c r="CW502" s="381"/>
      <c r="CX502" s="378"/>
      <c r="CY502" s="378"/>
      <c r="CZ502" s="378"/>
      <c r="DA502" s="378"/>
      <c r="DB502" s="378"/>
      <c r="DC502" s="378"/>
      <c r="DD502" s="378"/>
      <c r="DE502" s="378"/>
      <c r="DF502" s="378"/>
    </row>
    <row r="503" ht="30.4" customHeight="1">
      <c r="CV503" t="s" s="386">
        <v>154</v>
      </c>
      <c r="CW503" s="381"/>
      <c r="CX503" s="378"/>
      <c r="CY503" s="378"/>
      <c r="CZ503" s="378"/>
      <c r="DA503" s="378"/>
      <c r="DB503" s="378"/>
      <c r="DC503" s="378"/>
      <c r="DD503" s="378"/>
      <c r="DE503" s="378"/>
      <c r="DF503" s="378"/>
    </row>
    <row r="504" ht="30.4" customHeight="1">
      <c r="CV504" t="s" s="386">
        <v>257</v>
      </c>
      <c r="CW504" s="381"/>
      <c r="CX504" s="378"/>
      <c r="CY504" s="378"/>
      <c r="CZ504" s="382"/>
      <c r="DA504" s="378"/>
      <c r="DB504" s="378"/>
      <c r="DC504" s="378"/>
      <c r="DD504" s="378"/>
      <c r="DE504" s="378"/>
      <c r="DF504" s="378"/>
    </row>
    <row r="505" ht="30.4" customHeight="1">
      <c r="CV505" t="s" s="386">
        <v>391</v>
      </c>
      <c r="CW505" s="381"/>
      <c r="CX505" s="378"/>
      <c r="CY505" s="378"/>
      <c r="CZ505" s="382"/>
      <c r="DA505" s="378"/>
      <c r="DB505" s="378"/>
      <c r="DC505" s="378"/>
      <c r="DD505" s="378"/>
      <c r="DE505" s="378"/>
      <c r="DF505" s="378"/>
    </row>
    <row r="506" ht="30.4" customHeight="1">
      <c r="CV506" t="s" s="386">
        <v>393</v>
      </c>
      <c r="CW506" s="381"/>
      <c r="CX506" s="378"/>
      <c r="CY506" s="378"/>
      <c r="CZ506" s="382"/>
      <c r="DA506" s="378"/>
      <c r="DB506" s="378"/>
      <c r="DC506" s="378"/>
      <c r="DD506" s="378"/>
      <c r="DE506" s="378"/>
      <c r="DF506" s="378"/>
    </row>
    <row r="507" ht="30.4" customHeight="1">
      <c r="CV507" t="s" s="386">
        <v>395</v>
      </c>
      <c r="CW507" s="381"/>
      <c r="CX507" s="378"/>
      <c r="CY507" s="378"/>
      <c r="CZ507" s="378"/>
      <c r="DA507" s="378"/>
      <c r="DB507" s="378"/>
      <c r="DC507" s="378"/>
      <c r="DD507" s="378"/>
      <c r="DE507" s="378"/>
      <c r="DF507" s="378"/>
    </row>
    <row r="508" ht="30.4" customHeight="1">
      <c r="CV508" t="s" s="386">
        <v>155</v>
      </c>
      <c r="CW508" s="381"/>
      <c r="CX508" s="378"/>
      <c r="CY508" s="378"/>
      <c r="CZ508" s="382"/>
      <c r="DA508" s="378"/>
      <c r="DB508" s="378"/>
      <c r="DC508" s="378"/>
      <c r="DD508" s="378"/>
      <c r="DE508" s="378"/>
      <c r="DF508" s="378"/>
    </row>
    <row r="509" ht="30.4" customHeight="1">
      <c r="CV509" t="s" s="386">
        <v>37</v>
      </c>
      <c r="CW509" s="381"/>
      <c r="CX509" s="378"/>
      <c r="CY509" s="378"/>
      <c r="CZ509" s="382"/>
      <c r="DA509" s="378"/>
      <c r="DB509" s="378"/>
      <c r="DC509" s="378"/>
      <c r="DD509" s="378"/>
      <c r="DE509" s="378"/>
      <c r="DF509" s="378"/>
    </row>
    <row r="510" ht="21.3" customHeight="1">
      <c r="CV510" t="s" s="386">
        <v>19</v>
      </c>
      <c r="CW510" s="381"/>
      <c r="CX510" s="378"/>
      <c r="CY510" s="378"/>
      <c r="CZ510" s="382"/>
      <c r="DA510" s="378"/>
      <c r="DB510" s="378"/>
      <c r="DC510" s="378"/>
      <c r="DD510" s="378"/>
      <c r="DE510" s="378"/>
      <c r="DF510" s="378"/>
    </row>
    <row r="511" ht="21.3" customHeight="1">
      <c r="CV511" t="s" s="386">
        <v>239</v>
      </c>
      <c r="CW511" s="381"/>
      <c r="CX511" s="378"/>
      <c r="CY511" s="378"/>
      <c r="CZ511" s="382"/>
      <c r="DA511" s="378"/>
      <c r="DB511" s="378"/>
      <c r="DC511" s="378"/>
      <c r="DD511" s="378"/>
      <c r="DE511" s="378"/>
      <c r="DF511" s="378"/>
    </row>
    <row r="512" ht="30.4" customHeight="1">
      <c r="CV512" t="s" s="386">
        <v>262</v>
      </c>
      <c r="CW512" s="381"/>
      <c r="CX512" s="378"/>
      <c r="CY512" s="378"/>
      <c r="CZ512" s="378"/>
      <c r="DA512" s="378"/>
      <c r="DB512" s="378"/>
      <c r="DC512" s="378"/>
      <c r="DD512" s="378"/>
      <c r="DE512" s="378"/>
      <c r="DF512" s="378"/>
    </row>
    <row r="513" ht="30.4" customHeight="1">
      <c r="CV513" t="s" s="386">
        <v>265</v>
      </c>
      <c r="CW513" s="381"/>
      <c r="CX513" s="378"/>
      <c r="CY513" s="378"/>
      <c r="CZ513" s="382"/>
      <c r="DA513" s="378"/>
      <c r="DB513" s="378"/>
      <c r="DC513" s="378"/>
      <c r="DD513" s="378"/>
      <c r="DE513" s="378"/>
      <c r="DF513" s="378"/>
    </row>
    <row r="514" ht="30.4" customHeight="1">
      <c r="CV514" t="s" s="386">
        <v>250</v>
      </c>
      <c r="CW514" s="381"/>
      <c r="CX514" s="378"/>
      <c r="CY514" s="378"/>
      <c r="CZ514" s="378"/>
      <c r="DA514" s="378"/>
      <c r="DB514" s="378"/>
      <c r="DC514" s="378"/>
      <c r="DD514" s="378"/>
      <c r="DE514" s="378"/>
      <c r="DF514" s="378"/>
    </row>
    <row r="515" ht="30.4" customHeight="1">
      <c r="CV515" t="s" s="386">
        <v>268</v>
      </c>
      <c r="CW515" s="381"/>
      <c r="CX515" s="378"/>
      <c r="CY515" s="378"/>
      <c r="CZ515" s="382"/>
      <c r="DA515" s="378"/>
      <c r="DB515" s="378"/>
      <c r="DC515" s="378"/>
      <c r="DD515" s="378"/>
      <c r="DE515" s="378"/>
      <c r="DF515" s="378"/>
    </row>
    <row r="516" ht="30.4" customHeight="1">
      <c r="CV516" t="s" s="386">
        <v>156</v>
      </c>
      <c r="CW516" s="381"/>
      <c r="CX516" s="378"/>
      <c r="CY516" s="378"/>
      <c r="CZ516" s="382"/>
      <c r="DA516" s="378"/>
      <c r="DB516" s="378"/>
      <c r="DC516" s="378"/>
      <c r="DD516" s="378"/>
      <c r="DE516" s="378"/>
      <c r="DF516" s="378"/>
    </row>
    <row r="517" ht="30.4" customHeight="1">
      <c r="CV517" t="s" s="386">
        <v>259</v>
      </c>
      <c r="CW517" s="381"/>
      <c r="CX517" s="378"/>
      <c r="CY517" s="378"/>
      <c r="CZ517" s="382"/>
      <c r="DA517" s="378"/>
      <c r="DB517" s="378"/>
      <c r="DC517" s="378"/>
      <c r="DD517" s="378"/>
      <c r="DE517" s="378"/>
      <c r="DF517" s="378"/>
    </row>
    <row r="518" ht="44.7" customHeight="1">
      <c r="CV518" t="s" s="386">
        <v>274</v>
      </c>
      <c r="CW518" s="381"/>
      <c r="CX518" s="378"/>
      <c r="CY518" s="378"/>
      <c r="CZ518" s="382"/>
      <c r="DA518" s="378"/>
      <c r="DB518" s="378"/>
      <c r="DC518" s="378"/>
      <c r="DD518" s="378"/>
      <c r="DE518" s="378"/>
      <c r="DF518" s="378"/>
    </row>
    <row r="519" ht="29.3" customHeight="1">
      <c r="CV519" t="s" s="386">
        <v>48</v>
      </c>
      <c r="CW519" s="381"/>
      <c r="CX519" s="378"/>
      <c r="CY519" s="378"/>
      <c r="CZ519" s="382"/>
      <c r="DA519" s="378"/>
      <c r="DB519" s="378"/>
      <c r="DC519" s="378"/>
      <c r="DD519" s="378"/>
      <c r="DE519" s="378"/>
      <c r="DF519" s="378"/>
    </row>
    <row r="520" ht="29.3" customHeight="1">
      <c r="CV520" t="s" s="386">
        <v>49</v>
      </c>
      <c r="CW520" s="381"/>
      <c r="CX520" s="378"/>
      <c r="CY520" s="378"/>
      <c r="CZ520" s="382"/>
      <c r="DA520" s="378"/>
      <c r="DB520" s="378"/>
      <c r="DC520" s="378"/>
      <c r="DD520" s="378"/>
      <c r="DE520" s="378"/>
      <c r="DF520" s="378"/>
    </row>
    <row r="521" ht="29.3" customHeight="1">
      <c r="CV521" t="s" s="386">
        <v>50</v>
      </c>
      <c r="CW521" s="381"/>
      <c r="CX521" s="378"/>
      <c r="CY521" s="378"/>
      <c r="CZ521" s="382"/>
      <c r="DA521" s="378"/>
      <c r="DB521" s="378"/>
      <c r="DC521" s="378"/>
      <c r="DD521" s="378"/>
      <c r="DE521" s="378"/>
      <c r="DF521" s="378"/>
    </row>
    <row r="522" ht="29.3" customHeight="1">
      <c r="CV522" t="s" s="386">
        <v>51</v>
      </c>
      <c r="CW522" s="381"/>
      <c r="CX522" s="378"/>
      <c r="CY522" s="378"/>
      <c r="CZ522" s="378"/>
      <c r="DA522" s="378"/>
      <c r="DB522" s="378"/>
      <c r="DC522" s="378"/>
      <c r="DD522" s="378"/>
      <c r="DE522" s="378"/>
      <c r="DF522" s="378"/>
    </row>
    <row r="523" ht="29.3" customHeight="1">
      <c r="CV523" t="s" s="386">
        <v>52</v>
      </c>
      <c r="CW523" s="381"/>
      <c r="CX523" s="378"/>
      <c r="CY523" s="378"/>
      <c r="CZ523" s="378"/>
      <c r="DA523" s="378"/>
      <c r="DB523" s="378"/>
      <c r="DC523" s="378"/>
      <c r="DD523" s="378"/>
      <c r="DE523" s="378"/>
      <c r="DF523" s="378"/>
    </row>
    <row r="524" ht="29.3" customHeight="1">
      <c r="CV524" t="s" s="386">
        <v>115</v>
      </c>
      <c r="CW524" s="381"/>
      <c r="CX524" s="378"/>
      <c r="CY524" s="378"/>
      <c r="CZ524" s="382"/>
      <c r="DA524" s="378"/>
      <c r="DB524" s="378"/>
      <c r="DC524" s="378"/>
      <c r="DD524" s="378"/>
      <c r="DE524" s="378"/>
      <c r="DF524" s="378"/>
    </row>
    <row r="525" ht="29.3" customHeight="1">
      <c r="CV525" t="s" s="386">
        <v>197</v>
      </c>
      <c r="CW525" s="381"/>
      <c r="CX525" s="378"/>
      <c r="CY525" s="378"/>
      <c r="CZ525" s="382"/>
      <c r="DA525" s="378"/>
      <c r="DB525" s="378"/>
      <c r="DC525" s="378"/>
      <c r="DD525" s="378"/>
      <c r="DE525" s="378"/>
      <c r="DF525" s="378"/>
    </row>
    <row r="526" ht="29.3" customHeight="1">
      <c r="CV526" t="s" s="386">
        <v>46</v>
      </c>
      <c r="CW526" s="381"/>
      <c r="CX526" s="378"/>
      <c r="CY526" s="378"/>
      <c r="CZ526" s="382"/>
      <c r="DA526" s="378"/>
      <c r="DB526" s="378"/>
      <c r="DC526" s="378"/>
      <c r="DD526" s="378"/>
      <c r="DE526" s="378"/>
      <c r="DF526" s="378"/>
    </row>
    <row r="527" ht="29.3" customHeight="1">
      <c r="CV527" t="s" s="386">
        <v>191</v>
      </c>
      <c r="CW527" s="381"/>
      <c r="CX527" s="378"/>
      <c r="CY527" s="378"/>
      <c r="CZ527" s="382"/>
      <c r="DA527" s="378"/>
      <c r="DB527" s="378"/>
      <c r="DC527" s="378"/>
      <c r="DD527" s="378"/>
      <c r="DE527" s="378"/>
      <c r="DF527" s="378"/>
    </row>
    <row r="528" ht="29.3" customHeight="1">
      <c r="CV528" t="s" s="386">
        <v>109</v>
      </c>
      <c r="CW528" s="381"/>
      <c r="CX528" s="378"/>
      <c r="CY528" s="378"/>
      <c r="CZ528" s="378"/>
      <c r="DA528" s="378"/>
      <c r="DB528" s="378"/>
      <c r="DC528" s="378"/>
      <c r="DD528" s="378"/>
      <c r="DE528" s="378"/>
      <c r="DF528" s="378"/>
    </row>
    <row r="529" ht="29.3" customHeight="1">
      <c r="CV529" t="s" s="386">
        <v>270</v>
      </c>
      <c r="CW529" s="381"/>
      <c r="CX529" s="378"/>
      <c r="CY529" s="378"/>
      <c r="CZ529" s="382"/>
      <c r="DA529" s="378"/>
      <c r="DB529" s="378"/>
      <c r="DC529" s="378"/>
      <c r="DD529" s="378"/>
      <c r="DE529" s="378"/>
      <c r="DF529" s="378"/>
    </row>
    <row r="530" ht="29.3" customHeight="1">
      <c r="CV530" t="s" s="386">
        <v>272</v>
      </c>
      <c r="CW530" s="381"/>
      <c r="CX530" s="378"/>
      <c r="CY530" s="378"/>
      <c r="CZ530" s="382"/>
      <c r="DA530" s="378"/>
      <c r="DB530" s="378"/>
      <c r="DC530" s="378"/>
      <c r="DD530" s="378"/>
      <c r="DE530" s="378"/>
      <c r="DF530" s="378"/>
    </row>
    <row r="531" ht="29.3" customHeight="1">
      <c r="CV531" t="s" s="386">
        <v>319</v>
      </c>
      <c r="CW531" s="381"/>
      <c r="CX531" s="378"/>
      <c r="CY531" s="378"/>
      <c r="CZ531" s="382"/>
      <c r="DA531" s="378"/>
      <c r="DB531" s="378"/>
      <c r="DC531" s="378"/>
      <c r="DD531" s="378"/>
      <c r="DE531" s="378"/>
      <c r="DF531" s="378"/>
    </row>
    <row r="532" ht="29.3" customHeight="1">
      <c r="CV532" t="s" s="386">
        <v>352</v>
      </c>
      <c r="CW532" s="381"/>
      <c r="CX532" s="378"/>
      <c r="CY532" s="378"/>
      <c r="CZ532" s="382"/>
      <c r="DA532" s="378"/>
      <c r="DB532" s="378"/>
      <c r="DC532" s="378"/>
      <c r="DD532" s="378"/>
      <c r="DE532" s="378"/>
      <c r="DF532" s="378"/>
    </row>
    <row r="533" ht="29.3" customHeight="1">
      <c r="CV533" t="s" s="386">
        <v>349</v>
      </c>
      <c r="CW533" s="381"/>
      <c r="CX533" s="378"/>
      <c r="CY533" s="378"/>
      <c r="CZ533" s="382"/>
      <c r="DA533" s="378"/>
      <c r="DB533" s="378"/>
      <c r="DC533" s="378"/>
      <c r="DD533" s="378"/>
      <c r="DE533" s="378"/>
      <c r="DF533" s="378"/>
    </row>
    <row r="534" ht="29.3" customHeight="1">
      <c r="CV534" t="s" s="264">
        <v>358</v>
      </c>
      <c r="CW534" s="381"/>
      <c r="CX534" s="378"/>
      <c r="CY534" s="378"/>
      <c r="CZ534" s="382"/>
      <c r="DA534" s="378"/>
      <c r="DB534" s="378"/>
      <c r="DC534" s="378"/>
      <c r="DD534" s="378"/>
      <c r="DE534" s="378"/>
      <c r="DF534" s="378"/>
    </row>
    <row r="535" ht="29.3" customHeight="1">
      <c r="CV535" t="s" s="264">
        <v>359</v>
      </c>
      <c r="CW535" s="381"/>
      <c r="CX535" s="378"/>
      <c r="CY535" s="378"/>
      <c r="CZ535" s="382"/>
      <c r="DA535" s="378"/>
      <c r="DB535" s="378"/>
      <c r="DC535" s="378"/>
      <c r="DD535" s="378"/>
      <c r="DE535" s="378"/>
      <c r="DF535" s="378"/>
    </row>
    <row r="536" ht="29.3" customHeight="1">
      <c r="CV536" t="s" s="264">
        <v>360</v>
      </c>
      <c r="CW536" s="381"/>
      <c r="CX536" s="378"/>
      <c r="CY536" s="378"/>
      <c r="CZ536" s="382"/>
      <c r="DA536" s="378"/>
      <c r="DB536" s="378"/>
      <c r="DC536" s="378"/>
      <c r="DD536" s="378"/>
      <c r="DE536" s="378"/>
      <c r="DF536" s="378"/>
    </row>
    <row r="537" ht="29.3" customHeight="1">
      <c r="CV537" t="s" s="264">
        <v>363</v>
      </c>
      <c r="CW537" s="381"/>
      <c r="CX537" s="378"/>
      <c r="CY537" s="378"/>
      <c r="CZ537" s="382"/>
      <c r="DA537" s="378"/>
      <c r="DB537" s="378"/>
      <c r="DC537" s="378"/>
      <c r="DD537" s="378"/>
      <c r="DE537" s="378"/>
      <c r="DF537" s="378"/>
    </row>
    <row r="538" ht="29.3" customHeight="1">
      <c r="CV538" t="s" s="255">
        <v>365</v>
      </c>
      <c r="CW538" s="381"/>
      <c r="CX538" s="378"/>
      <c r="CY538" s="378"/>
      <c r="CZ538" s="382"/>
      <c r="DA538" s="378"/>
      <c r="DB538" s="378"/>
      <c r="DC538" s="378"/>
      <c r="DD538" s="378"/>
      <c r="DE538" s="378"/>
      <c r="DF538" s="378"/>
    </row>
    <row r="539" ht="29.3" customHeight="1">
      <c r="CV539" t="s" s="264">
        <v>368</v>
      </c>
      <c r="CW539" s="381"/>
      <c r="CX539" s="378"/>
      <c r="CY539" s="378"/>
      <c r="CZ539" s="382"/>
      <c r="DA539" s="378"/>
      <c r="DB539" s="378"/>
      <c r="DC539" s="378"/>
      <c r="DD539" s="378"/>
      <c r="DE539" s="378"/>
      <c r="DF539" s="378"/>
    </row>
    <row r="540" ht="29.3" customHeight="1">
      <c r="CV540" t="s" s="264">
        <v>371</v>
      </c>
      <c r="CW540" s="381"/>
      <c r="CX540" s="378"/>
      <c r="CY540" s="378"/>
      <c r="CZ540" s="382"/>
      <c r="DA540" s="378"/>
      <c r="DB540" s="378"/>
      <c r="DC540" s="378"/>
      <c r="DD540" s="378"/>
      <c r="DE540" s="378"/>
      <c r="DF540" s="378"/>
    </row>
    <row r="541" ht="29.3" customHeight="1">
      <c r="CV541" t="s" s="364">
        <v>102</v>
      </c>
      <c r="CW541" s="381"/>
      <c r="CX541" s="378"/>
      <c r="CY541" s="378"/>
      <c r="CZ541" s="382"/>
      <c r="DA541" s="378"/>
      <c r="DB541" s="378"/>
      <c r="DC541" s="378"/>
      <c r="DD541" s="378"/>
      <c r="DE541" s="378"/>
      <c r="DF541" s="378"/>
    </row>
    <row r="542" ht="30.25" customHeight="1">
      <c r="CV542" t="s" s="364">
        <v>102</v>
      </c>
      <c r="CW542" s="381"/>
      <c r="CX542" s="378"/>
      <c r="CY542" s="378"/>
      <c r="CZ542" s="389"/>
      <c r="DA542" s="378"/>
      <c r="DB542" s="378"/>
      <c r="DC542" s="378"/>
      <c r="DD542" s="378"/>
      <c r="DE542" s="378"/>
      <c r="DF542" s="378"/>
    </row>
    <row r="543" ht="23.15" customHeight="1">
      <c r="CV543" t="s" s="386">
        <v>30</v>
      </c>
      <c r="CW543" s="387" cm="1">
        <f t="array" ref="CW543">SUM(CW495:CW542)</f>
        <v>0</v>
      </c>
      <c r="CX543" s="379" cm="1">
        <f t="array" ref="CX543">SUM(CX495:CX542)</f>
        <v>0</v>
      </c>
      <c r="CY543" s="379" cm="1">
        <f t="array" ref="CY543">SUM(CY495:CY542)</f>
        <v>0</v>
      </c>
      <c r="CZ543" s="379" cm="1">
        <f t="array" ref="CZ543">SUM(CZ495)</f>
        <v>0</v>
      </c>
      <c r="DA543" s="379" cm="1">
        <f t="array" ref="DA543">SUM(DA495:DA542)</f>
        <v>0</v>
      </c>
      <c r="DB543" s="379" cm="1">
        <f t="array" ref="DB543">SUM(DB495:DB542)</f>
        <v>0</v>
      </c>
      <c r="DC543" s="379" cm="1">
        <f t="array" ref="DC543">SUM(CW543:DB543)</f>
        <v>0</v>
      </c>
      <c r="DD543" s="379" cm="1">
        <f t="array" ref="DD543">SUM(DD495:DD542)</f>
        <v>0</v>
      </c>
      <c r="DE543" s="379" cm="1">
        <f t="array" ref="DE543">SUM(DE495:DE542)</f>
        <v>0</v>
      </c>
      <c r="DF543" s="379" cm="1">
        <f t="array" ref="DF543">SUM(DF495:DF542)</f>
        <v>0</v>
      </c>
    </row>
    <row r="545" ht="48.15" customHeight="1">
      <c r="DG545" s="371"/>
      <c r="DH545" t="s" s="372">
        <v>147</v>
      </c>
      <c r="DI545" t="s" s="372">
        <v>148</v>
      </c>
      <c r="DJ545" s="371"/>
      <c r="DK545" s="371"/>
      <c r="DL545" s="371"/>
      <c r="DM545" s="371"/>
      <c r="DN545" t="s" s="372">
        <v>53</v>
      </c>
      <c r="DO545" t="s" s="372">
        <v>67</v>
      </c>
      <c r="DP545" t="s" s="372">
        <v>160</v>
      </c>
    </row>
    <row r="546" ht="30.25" customHeight="1">
      <c r="DG546" t="s" s="373">
        <v>35</v>
      </c>
      <c r="DH546" s="374"/>
      <c r="DI546" s="375"/>
      <c r="DJ546" s="375"/>
      <c r="DK546" s="375"/>
      <c r="DL546" s="375"/>
      <c r="DM546" s="375"/>
      <c r="DN546" s="376" cm="1">
        <f t="array" ref="DN546">SUM(DH546:DM546)</f>
        <v>0</v>
      </c>
      <c r="DO546" s="377"/>
      <c r="DP546" s="377"/>
    </row>
    <row r="547" ht="29.95" customHeight="1">
      <c r="DG547" t="s" s="364">
        <v>47</v>
      </c>
      <c r="DH547" s="381"/>
      <c r="DI547" s="378"/>
      <c r="DJ547" s="378"/>
      <c r="DK547" s="378"/>
      <c r="DL547" s="378"/>
      <c r="DM547" s="378"/>
      <c r="DN547" s="379" cm="1">
        <f t="array" ref="DN547">SUM(DH547:DM547)</f>
        <v>0</v>
      </c>
      <c r="DO547" s="380"/>
      <c r="DP547" s="380"/>
    </row>
    <row r="548" ht="29.95" customHeight="1">
      <c r="DG548" t="s" s="364">
        <v>10</v>
      </c>
      <c r="DH548" s="342">
        <v>1</v>
      </c>
      <c r="DI548" s="343">
        <v>1</v>
      </c>
      <c r="DJ548" s="378"/>
      <c r="DK548" s="378"/>
      <c r="DL548" s="378"/>
      <c r="DM548" s="378"/>
      <c r="DN548" s="379" cm="1">
        <f t="array" ref="DN548">SUM(DH548:DM548)</f>
        <v>2</v>
      </c>
      <c r="DO548" s="380"/>
      <c r="DP548" s="380"/>
    </row>
    <row r="549" ht="30.45" customHeight="1">
      <c r="DG549" t="s" s="364">
        <v>32</v>
      </c>
      <c r="DH549" s="345">
        <v>1</v>
      </c>
      <c r="DI549" s="339">
        <v>1</v>
      </c>
      <c r="DJ549" s="378"/>
      <c r="DK549" s="378"/>
      <c r="DL549" s="378"/>
      <c r="DM549" s="378"/>
      <c r="DN549" s="379" cm="1">
        <f t="array" ref="DN549">SUM(DH549:DM549)</f>
        <v>2</v>
      </c>
      <c r="DO549" s="380"/>
      <c r="DP549" s="380"/>
    </row>
    <row r="550" ht="29.95" customHeight="1">
      <c r="DG550" t="s" s="364">
        <v>16</v>
      </c>
      <c r="DH550" s="381"/>
      <c r="DI550" s="378"/>
      <c r="DJ550" s="378"/>
      <c r="DK550" s="378"/>
      <c r="DL550" s="378"/>
      <c r="DM550" s="378"/>
      <c r="DN550" s="379" cm="1">
        <f t="array" ref="DN550">SUM(DH550:DM550)</f>
        <v>0</v>
      </c>
      <c r="DO550" s="380"/>
      <c r="DP550" s="380"/>
    </row>
    <row r="551" ht="29.95" customHeight="1">
      <c r="DG551" t="s" s="364">
        <v>18</v>
      </c>
      <c r="DH551" s="381"/>
      <c r="DI551" s="378"/>
      <c r="DJ551" s="378"/>
      <c r="DK551" s="378"/>
      <c r="DL551" s="378"/>
      <c r="DM551" s="378"/>
      <c r="DN551" s="379" cm="1">
        <f t="array" ref="DN551">SUM(DH551:DM551)</f>
        <v>0</v>
      </c>
      <c r="DO551" s="380"/>
      <c r="DP551" s="380"/>
    </row>
    <row r="552" ht="29.95" customHeight="1">
      <c r="DG552" t="s" s="364">
        <v>287</v>
      </c>
      <c r="DH552" s="381"/>
      <c r="DI552" s="378"/>
      <c r="DJ552" s="378"/>
      <c r="DK552" s="378"/>
      <c r="DL552" s="378"/>
      <c r="DM552" s="378"/>
      <c r="DN552" s="379" cm="1">
        <f t="array" ref="DN552">SUM(DH552:DM552)</f>
        <v>0</v>
      </c>
      <c r="DO552" s="380"/>
      <c r="DP552" s="380"/>
    </row>
    <row r="553" ht="29.95" customHeight="1">
      <c r="DG553" t="s" s="364">
        <v>45</v>
      </c>
      <c r="DH553" s="345">
        <v>1</v>
      </c>
      <c r="DI553" s="339">
        <v>1</v>
      </c>
      <c r="DJ553" s="378"/>
      <c r="DK553" s="378"/>
      <c r="DL553" s="378"/>
      <c r="DM553" s="378"/>
      <c r="DN553" s="379" cm="1">
        <f t="array" ref="DN553">SUM(DH553:DM553)</f>
        <v>2</v>
      </c>
      <c r="DO553" s="380"/>
      <c r="DP553" s="380"/>
    </row>
    <row r="554" ht="29.95" customHeight="1">
      <c r="DG554" t="s" s="364">
        <v>154</v>
      </c>
      <c r="DH554" s="381"/>
      <c r="DI554" s="378"/>
      <c r="DJ554" s="378"/>
      <c r="DK554" s="378"/>
      <c r="DL554" s="378"/>
      <c r="DM554" s="378"/>
      <c r="DN554" s="379" cm="1">
        <f t="array" ref="DN554">SUM(DH554:DM554)</f>
        <v>0</v>
      </c>
      <c r="DO554" s="380"/>
      <c r="DP554" s="380"/>
    </row>
    <row r="555" ht="29.95" customHeight="1">
      <c r="DG555" t="s" s="364">
        <v>257</v>
      </c>
      <c r="DH555" s="345">
        <v>1</v>
      </c>
      <c r="DI555" s="378"/>
      <c r="DJ555" s="378"/>
      <c r="DK555" s="378"/>
      <c r="DL555" s="378"/>
      <c r="DM555" s="378"/>
      <c r="DN555" s="379" cm="1">
        <f t="array" ref="DN555">SUM(DH555:DM555)</f>
        <v>1</v>
      </c>
      <c r="DO555" s="380"/>
      <c r="DP555" s="380"/>
    </row>
    <row r="556" ht="29.95" customHeight="1">
      <c r="DG556" t="s" s="364">
        <v>391</v>
      </c>
      <c r="DH556" s="345">
        <v>1</v>
      </c>
      <c r="DI556" s="378"/>
      <c r="DJ556" s="378"/>
      <c r="DK556" s="378"/>
      <c r="DL556" s="378"/>
      <c r="DM556" s="378"/>
      <c r="DN556" s="379" cm="1">
        <f t="array" ref="DN556">SUM(DH556:DM556)</f>
        <v>1</v>
      </c>
      <c r="DO556" s="380"/>
      <c r="DP556" s="380"/>
    </row>
    <row r="557" ht="29.95" customHeight="1">
      <c r="DG557" t="s" s="364">
        <v>393</v>
      </c>
      <c r="DH557" s="381"/>
      <c r="DI557" s="378"/>
      <c r="DJ557" s="378"/>
      <c r="DK557" s="378"/>
      <c r="DL557" s="378"/>
      <c r="DM557" s="378"/>
      <c r="DN557" s="379" cm="1">
        <f t="array" ref="DN557">SUM(DH557:DM557)</f>
        <v>0</v>
      </c>
      <c r="DO557" s="380"/>
      <c r="DP557" s="380"/>
    </row>
    <row r="558" ht="29.95" customHeight="1">
      <c r="DG558" t="s" s="364">
        <v>395</v>
      </c>
      <c r="DH558" s="381"/>
      <c r="DI558" s="378"/>
      <c r="DJ558" s="378"/>
      <c r="DK558" s="378"/>
      <c r="DL558" s="378"/>
      <c r="DM558" s="378"/>
      <c r="DN558" s="379" cm="1">
        <f t="array" ref="DN558">SUM(DH558:DM558)</f>
        <v>0</v>
      </c>
      <c r="DO558" s="380"/>
      <c r="DP558" s="380"/>
    </row>
    <row r="559" ht="29.95" customHeight="1">
      <c r="DG559" t="s" s="364">
        <v>155</v>
      </c>
      <c r="DH559" s="381"/>
      <c r="DI559" s="378"/>
      <c r="DJ559" s="378"/>
      <c r="DK559" s="378"/>
      <c r="DL559" s="378"/>
      <c r="DM559" s="378"/>
      <c r="DN559" s="379" cm="1">
        <f t="array" ref="DN559">SUM(DH559:DM559)</f>
        <v>0</v>
      </c>
      <c r="DO559" s="380"/>
      <c r="DP559" s="380"/>
    </row>
    <row r="560" ht="29.95" customHeight="1">
      <c r="DG560" t="s" s="364">
        <v>37</v>
      </c>
      <c r="DH560" s="381"/>
      <c r="DI560" s="343">
        <v>1</v>
      </c>
      <c r="DJ560" s="378"/>
      <c r="DK560" s="378"/>
      <c r="DL560" s="378"/>
      <c r="DM560" s="378"/>
      <c r="DN560" s="379" cm="1">
        <f t="array" ref="DN560">SUM(DH560:DM560)</f>
        <v>1</v>
      </c>
      <c r="DO560" s="380"/>
      <c r="DP560" s="380"/>
    </row>
    <row r="561" ht="29.95" customHeight="1">
      <c r="DG561" t="s" s="364">
        <v>19</v>
      </c>
      <c r="DH561" s="381"/>
      <c r="DI561" s="378"/>
      <c r="DJ561" s="378"/>
      <c r="DK561" s="378"/>
      <c r="DL561" s="378"/>
      <c r="DM561" s="378"/>
      <c r="DN561" s="379" cm="1">
        <f t="array" ref="DN561">SUM(DH561:DM561)</f>
        <v>0</v>
      </c>
      <c r="DO561" s="380"/>
      <c r="DP561" s="380"/>
    </row>
    <row r="562" ht="29.95" customHeight="1">
      <c r="DG562" t="s" s="364">
        <v>239</v>
      </c>
      <c r="DH562" s="381"/>
      <c r="DI562" s="378"/>
      <c r="DJ562" s="378"/>
      <c r="DK562" s="378"/>
      <c r="DL562" s="378"/>
      <c r="DM562" s="378"/>
      <c r="DN562" s="379" cm="1">
        <f t="array" ref="DN562">SUM(DH562:DM562)</f>
        <v>0</v>
      </c>
      <c r="DO562" s="380"/>
      <c r="DP562" s="380"/>
    </row>
    <row r="563" ht="29.95" customHeight="1">
      <c r="DG563" t="s" s="364">
        <v>262</v>
      </c>
      <c r="DH563" s="345">
        <v>1</v>
      </c>
      <c r="DI563" s="339">
        <v>1</v>
      </c>
      <c r="DJ563" s="378"/>
      <c r="DK563" s="378"/>
      <c r="DL563" s="378"/>
      <c r="DM563" s="378"/>
      <c r="DN563" s="379" cm="1">
        <f t="array" ref="DN563">SUM(DH563:DM563)</f>
        <v>2</v>
      </c>
      <c r="DO563" s="380"/>
      <c r="DP563" s="380"/>
    </row>
    <row r="564" ht="29.95" customHeight="1">
      <c r="DG564" t="s" s="364">
        <v>265</v>
      </c>
      <c r="DH564" s="345">
        <v>1</v>
      </c>
      <c r="DI564" s="339">
        <v>1</v>
      </c>
      <c r="DJ564" s="378"/>
      <c r="DK564" s="378"/>
      <c r="DL564" s="378"/>
      <c r="DM564" s="378"/>
      <c r="DN564" s="379" cm="1">
        <f t="array" ref="DN564">SUM(DH564:DM564)</f>
        <v>2</v>
      </c>
      <c r="DO564" s="380"/>
      <c r="DP564" s="379">
        <v>2</v>
      </c>
    </row>
    <row r="565" ht="29.95" customHeight="1">
      <c r="DG565" t="s" s="364">
        <v>250</v>
      </c>
      <c r="DH565" s="381"/>
      <c r="DI565" s="339">
        <v>1</v>
      </c>
      <c r="DJ565" s="378"/>
      <c r="DK565" s="378"/>
      <c r="DL565" s="378"/>
      <c r="DM565" s="378"/>
      <c r="DN565" s="379" cm="1">
        <f t="array" ref="DN565">SUM(DH565:DM565)</f>
        <v>1</v>
      </c>
      <c r="DO565" s="380"/>
      <c r="DP565" s="380"/>
    </row>
    <row r="566" ht="29.95" customHeight="1">
      <c r="DG566" t="s" s="364">
        <v>268</v>
      </c>
      <c r="DH566" s="381"/>
      <c r="DI566" s="378"/>
      <c r="DJ566" s="378"/>
      <c r="DK566" s="378"/>
      <c r="DL566" s="378"/>
      <c r="DM566" s="378"/>
      <c r="DN566" s="379" cm="1">
        <f t="array" ref="DN566">SUM(DH566:DM566)</f>
        <v>0</v>
      </c>
      <c r="DO566" s="380"/>
      <c r="DP566" s="380"/>
    </row>
    <row r="567" ht="29.95" customHeight="1">
      <c r="DG567" t="s" s="364">
        <v>156</v>
      </c>
      <c r="DH567" s="381"/>
      <c r="DI567" s="339">
        <v>1</v>
      </c>
      <c r="DJ567" s="378"/>
      <c r="DK567" s="378"/>
      <c r="DL567" s="378"/>
      <c r="DM567" s="378"/>
      <c r="DN567" s="379" cm="1">
        <f t="array" ref="DN567">SUM(DH567:DM567)</f>
        <v>1</v>
      </c>
      <c r="DO567" s="380"/>
      <c r="DP567" s="380"/>
    </row>
    <row r="568" ht="29.95" customHeight="1">
      <c r="DG568" t="s" s="364">
        <v>259</v>
      </c>
      <c r="DH568" s="381"/>
      <c r="DI568" s="378"/>
      <c r="DJ568" s="378"/>
      <c r="DK568" s="378"/>
      <c r="DL568" s="378"/>
      <c r="DM568" s="378"/>
      <c r="DN568" s="379" cm="1">
        <f t="array" ref="DN568">SUM(DH568:DM568)</f>
        <v>0</v>
      </c>
      <c r="DO568" s="380"/>
      <c r="DP568" s="380"/>
    </row>
    <row r="569" ht="29.95" customHeight="1">
      <c r="DG569" t="s" s="364">
        <v>274</v>
      </c>
      <c r="DH569" s="381"/>
      <c r="DI569" s="378"/>
      <c r="DJ569" s="378"/>
      <c r="DK569" s="378"/>
      <c r="DL569" s="378"/>
      <c r="DM569" s="378"/>
      <c r="DN569" s="379" cm="1">
        <f t="array" ref="DN569">SUM(DH569:DM569)</f>
        <v>0</v>
      </c>
      <c r="DO569" s="380"/>
      <c r="DP569" s="380"/>
    </row>
    <row r="570" ht="29.95" customHeight="1">
      <c r="DG570" t="s" s="364">
        <v>48</v>
      </c>
      <c r="DH570" s="381"/>
      <c r="DI570" s="378"/>
      <c r="DJ570" s="378"/>
      <c r="DK570" s="378"/>
      <c r="DL570" s="378"/>
      <c r="DM570" s="378"/>
      <c r="DN570" s="379" cm="1">
        <f t="array" ref="DN570">SUM(DH570:DM570)</f>
        <v>0</v>
      </c>
      <c r="DO570" s="380"/>
      <c r="DP570" s="380"/>
    </row>
    <row r="571" ht="29.95" customHeight="1">
      <c r="DG571" t="s" s="364">
        <v>49</v>
      </c>
      <c r="DH571" s="381"/>
      <c r="DI571" s="378"/>
      <c r="DJ571" s="378"/>
      <c r="DK571" s="378"/>
      <c r="DL571" s="378"/>
      <c r="DM571" s="378"/>
      <c r="DN571" s="379" cm="1">
        <f t="array" ref="DN571">SUM(DH571:DM571)</f>
        <v>0</v>
      </c>
      <c r="DO571" s="380"/>
      <c r="DP571" s="380"/>
    </row>
    <row r="572" ht="29.95" customHeight="1">
      <c r="DG572" t="s" s="364">
        <v>50</v>
      </c>
      <c r="DH572" s="381"/>
      <c r="DI572" s="339">
        <v>1</v>
      </c>
      <c r="DJ572" s="378"/>
      <c r="DK572" s="378"/>
      <c r="DL572" s="378"/>
      <c r="DM572" s="378"/>
      <c r="DN572" s="379" cm="1">
        <f t="array" ref="DN572">SUM(DH572:DM572)</f>
        <v>1</v>
      </c>
      <c r="DO572" s="380"/>
      <c r="DP572" s="380"/>
    </row>
    <row r="573" ht="29.95" customHeight="1">
      <c r="DG573" t="s" s="364">
        <v>51</v>
      </c>
      <c r="DH573" s="381"/>
      <c r="DI573" s="339">
        <v>1</v>
      </c>
      <c r="DJ573" s="378"/>
      <c r="DK573" s="378"/>
      <c r="DL573" s="378"/>
      <c r="DM573" s="378"/>
      <c r="DN573" s="379" cm="1">
        <f t="array" ref="DN573">SUM(DH573:DM573)</f>
        <v>1</v>
      </c>
      <c r="DO573" s="380"/>
      <c r="DP573" s="380"/>
    </row>
    <row r="574" ht="29.95" customHeight="1">
      <c r="DG574" t="s" s="364">
        <v>52</v>
      </c>
      <c r="DH574" s="381"/>
      <c r="DI574" s="339">
        <v>1</v>
      </c>
      <c r="DJ574" s="378"/>
      <c r="DK574" s="378"/>
      <c r="DL574" s="378"/>
      <c r="DM574" s="378"/>
      <c r="DN574" s="379" cm="1">
        <f t="array" ref="DN574">SUM(DH574:DM574)</f>
        <v>1</v>
      </c>
      <c r="DO574" s="380"/>
      <c r="DP574" s="380"/>
    </row>
    <row r="575" ht="29.95" customHeight="1">
      <c r="DG575" t="s" s="364">
        <v>115</v>
      </c>
      <c r="DH575" s="381"/>
      <c r="DI575" s="378"/>
      <c r="DJ575" s="378"/>
      <c r="DK575" s="378"/>
      <c r="DL575" s="378"/>
      <c r="DM575" s="378"/>
      <c r="DN575" s="379" cm="1">
        <f t="array" ref="DN575">SUM(DH575:DM575)</f>
        <v>0</v>
      </c>
      <c r="DO575" s="379">
        <v>1</v>
      </c>
      <c r="DP575" s="380"/>
    </row>
    <row r="576" ht="29.95" customHeight="1">
      <c r="DG576" t="s" s="364">
        <v>197</v>
      </c>
      <c r="DH576" s="381"/>
      <c r="DI576" s="378"/>
      <c r="DJ576" s="378"/>
      <c r="DK576" s="378"/>
      <c r="DL576" s="378"/>
      <c r="DM576" s="378"/>
      <c r="DN576" s="379" cm="1">
        <f t="array" ref="DN576">SUM(DH576:DM576)</f>
        <v>0</v>
      </c>
      <c r="DO576" s="380"/>
      <c r="DP576" s="380"/>
    </row>
    <row r="577" ht="29.95" customHeight="1">
      <c r="DG577" t="s" s="364">
        <v>46</v>
      </c>
      <c r="DH577" s="381"/>
      <c r="DI577" s="378"/>
      <c r="DJ577" s="378"/>
      <c r="DK577" s="378"/>
      <c r="DL577" s="378"/>
      <c r="DM577" s="378"/>
      <c r="DN577" s="379" cm="1">
        <f t="array" ref="DN577">SUM(DH577:DM577)</f>
        <v>0</v>
      </c>
      <c r="DO577" s="380"/>
      <c r="DP577" s="380"/>
    </row>
    <row r="578" ht="29.95" customHeight="1">
      <c r="DG578" t="s" s="364">
        <v>191</v>
      </c>
      <c r="DH578" s="381"/>
      <c r="DI578" s="378"/>
      <c r="DJ578" s="378"/>
      <c r="DK578" s="378"/>
      <c r="DL578" s="378"/>
      <c r="DM578" s="378"/>
      <c r="DN578" s="379" cm="1">
        <f t="array" ref="DN578">SUM(DH578:DM578)</f>
        <v>0</v>
      </c>
      <c r="DO578" s="380"/>
      <c r="DP578" s="380"/>
    </row>
    <row r="579" ht="29.95" customHeight="1">
      <c r="DG579" t="s" s="364">
        <v>109</v>
      </c>
      <c r="DH579" s="345">
        <v>1</v>
      </c>
      <c r="DI579" s="339">
        <v>1</v>
      </c>
      <c r="DJ579" s="378"/>
      <c r="DK579" s="378"/>
      <c r="DL579" s="378"/>
      <c r="DM579" s="378"/>
      <c r="DN579" s="379" cm="1">
        <f t="array" ref="DN579">SUM(DH579:DM579)</f>
        <v>2</v>
      </c>
      <c r="DO579" s="380"/>
      <c r="DP579" s="380"/>
    </row>
    <row r="580" ht="29.95" customHeight="1">
      <c r="DG580" t="s" s="364">
        <v>270</v>
      </c>
      <c r="DH580" s="381"/>
      <c r="DI580" s="378"/>
      <c r="DJ580" s="378"/>
      <c r="DK580" s="378"/>
      <c r="DL580" s="378"/>
      <c r="DM580" s="378"/>
      <c r="DN580" s="379" cm="1">
        <f t="array" ref="DN580">SUM(DH580:DM580)</f>
        <v>0</v>
      </c>
      <c r="DO580" s="380"/>
      <c r="DP580" s="380"/>
    </row>
    <row r="581" ht="29.95" customHeight="1">
      <c r="DG581" t="s" s="364">
        <v>272</v>
      </c>
      <c r="DH581" s="381"/>
      <c r="DI581" s="378"/>
      <c r="DJ581" s="378"/>
      <c r="DK581" s="378"/>
      <c r="DL581" s="378"/>
      <c r="DM581" s="378"/>
      <c r="DN581" s="379" cm="1">
        <f t="array" ref="DN581">SUM(DH581:DM581)</f>
        <v>0</v>
      </c>
      <c r="DO581" s="380"/>
      <c r="DP581" s="380"/>
    </row>
    <row r="582" ht="29.95" customHeight="1">
      <c r="DG582" t="s" s="364">
        <v>319</v>
      </c>
      <c r="DH582" s="381"/>
      <c r="DI582" s="378"/>
      <c r="DJ582" s="378"/>
      <c r="DK582" s="378"/>
      <c r="DL582" s="378"/>
      <c r="DM582" s="378"/>
      <c r="DN582" s="379" cm="1">
        <f t="array" ref="DN582">SUM(DH582:DM582)</f>
        <v>0</v>
      </c>
      <c r="DO582" s="380"/>
      <c r="DP582" s="380"/>
    </row>
    <row r="583" ht="29.95" customHeight="1">
      <c r="DG583" t="s" s="364">
        <v>352</v>
      </c>
      <c r="DH583" s="345">
        <v>1</v>
      </c>
      <c r="DI583" s="339">
        <v>1</v>
      </c>
      <c r="DJ583" s="378"/>
      <c r="DK583" s="378"/>
      <c r="DL583" s="378"/>
      <c r="DM583" s="378"/>
      <c r="DN583" s="379" cm="1">
        <f t="array" ref="DN583">SUM(DH583:DM583)</f>
        <v>2</v>
      </c>
      <c r="DO583" s="380"/>
      <c r="DP583" s="380"/>
    </row>
    <row r="584" ht="29.95" customHeight="1">
      <c r="DG584" t="s" s="364">
        <v>349</v>
      </c>
      <c r="DH584" s="345">
        <v>1</v>
      </c>
      <c r="DI584" s="339">
        <v>1</v>
      </c>
      <c r="DJ584" s="378"/>
      <c r="DK584" s="378"/>
      <c r="DL584" s="378"/>
      <c r="DM584" s="378"/>
      <c r="DN584" s="379" cm="1">
        <f t="array" ref="DN584">SUM(DH584:DM584)</f>
        <v>2</v>
      </c>
      <c r="DO584" s="380"/>
      <c r="DP584" s="380"/>
    </row>
    <row r="585" ht="29.95" customHeight="1">
      <c r="DG585" t="s" s="264">
        <v>427</v>
      </c>
      <c r="DH585" s="345">
        <v>1</v>
      </c>
      <c r="DI585" s="339">
        <v>1</v>
      </c>
      <c r="DJ585" s="378"/>
      <c r="DK585" s="378"/>
      <c r="DL585" s="378"/>
      <c r="DM585" s="378"/>
      <c r="DN585" s="379" cm="1">
        <f t="array" ref="DN585">SUM(DH585:DM585)</f>
        <v>2</v>
      </c>
      <c r="DO585" s="380"/>
      <c r="DP585" s="380"/>
    </row>
    <row r="586" ht="29.95" customHeight="1">
      <c r="DG586" t="s" s="264">
        <v>359</v>
      </c>
      <c r="DH586" s="381"/>
      <c r="DI586" s="378"/>
      <c r="DJ586" s="378"/>
      <c r="DK586" s="378"/>
      <c r="DL586" s="378"/>
      <c r="DM586" s="378"/>
      <c r="DN586" s="379" cm="1">
        <f t="array" ref="DN586">SUM(DH586:DM586)</f>
        <v>0</v>
      </c>
      <c r="DO586" s="380"/>
      <c r="DP586" s="380"/>
    </row>
    <row r="587" ht="29.95" customHeight="1">
      <c r="DG587" t="s" s="264">
        <v>360</v>
      </c>
      <c r="DH587" s="381"/>
      <c r="DI587" s="378"/>
      <c r="DJ587" s="378"/>
      <c r="DK587" s="378"/>
      <c r="DL587" s="378"/>
      <c r="DM587" s="378"/>
      <c r="DN587" s="379" cm="1">
        <f t="array" ref="DN587">SUM(DH587:DM587)</f>
        <v>0</v>
      </c>
      <c r="DO587" s="380"/>
      <c r="DP587" s="380"/>
    </row>
    <row r="588" ht="29.95" customHeight="1">
      <c r="DG588" t="s" s="264">
        <v>363</v>
      </c>
      <c r="DH588" s="345">
        <v>1</v>
      </c>
      <c r="DI588" s="339">
        <v>1</v>
      </c>
      <c r="DJ588" s="378"/>
      <c r="DK588" s="378"/>
      <c r="DL588" s="378"/>
      <c r="DM588" s="378"/>
      <c r="DN588" s="379" cm="1">
        <f t="array" ref="DN588">SUM(DH588:DM588)</f>
        <v>2</v>
      </c>
      <c r="DO588" s="380"/>
      <c r="DP588" s="380"/>
    </row>
    <row r="589" ht="29.95" customHeight="1">
      <c r="DG589" t="s" s="264">
        <v>355</v>
      </c>
      <c r="DH589" s="345">
        <v>1</v>
      </c>
      <c r="DI589" s="339">
        <v>1</v>
      </c>
      <c r="DJ589" s="378"/>
      <c r="DK589" s="378"/>
      <c r="DL589" s="378"/>
      <c r="DM589" s="378"/>
      <c r="DN589" s="379" cm="1">
        <f t="array" ref="DN589">SUM(DH589:DM589)</f>
        <v>2</v>
      </c>
      <c r="DO589" s="380"/>
      <c r="DP589" s="380"/>
    </row>
    <row r="590" ht="29.95" customHeight="1">
      <c r="DG590" t="s" s="264">
        <v>357</v>
      </c>
      <c r="DH590" s="381"/>
      <c r="DI590" s="378"/>
      <c r="DJ590" s="378"/>
      <c r="DK590" s="378"/>
      <c r="DL590" s="378"/>
      <c r="DM590" s="378"/>
      <c r="DN590" s="379" cm="1">
        <f t="array" ref="DN590">SUM(DH590:DM590)</f>
        <v>0</v>
      </c>
      <c r="DO590" s="380"/>
      <c r="DP590" s="380"/>
    </row>
    <row r="591" ht="29.95" customHeight="1">
      <c r="DG591" t="s" s="255">
        <v>365</v>
      </c>
      <c r="DH591" s="381"/>
      <c r="DI591" s="378"/>
      <c r="DJ591" s="378"/>
      <c r="DK591" s="378"/>
      <c r="DL591" s="378"/>
      <c r="DM591" s="378"/>
      <c r="DN591" s="379" cm="1">
        <f t="array" ref="DN591">SUM(DH591:DM591)</f>
        <v>0</v>
      </c>
      <c r="DO591" s="380"/>
      <c r="DP591" s="380"/>
    </row>
    <row r="592" ht="29.95" customHeight="1">
      <c r="DG592" t="s" s="264">
        <v>368</v>
      </c>
      <c r="DH592" s="381"/>
      <c r="DI592" s="378"/>
      <c r="DJ592" s="378"/>
      <c r="DK592" s="378"/>
      <c r="DL592" s="378"/>
      <c r="DM592" s="378"/>
      <c r="DN592" s="379" cm="1">
        <f t="array" ref="DN592">SUM(DH592:DM592)</f>
        <v>0</v>
      </c>
      <c r="DO592" s="380"/>
      <c r="DP592" s="380"/>
    </row>
    <row r="593" ht="29.95" customHeight="1">
      <c r="DG593" t="s" s="264">
        <v>371</v>
      </c>
      <c r="DH593" s="381"/>
      <c r="DI593" s="378"/>
      <c r="DJ593" s="378"/>
      <c r="DK593" s="378"/>
      <c r="DL593" s="378"/>
      <c r="DM593" s="378"/>
      <c r="DN593" s="379" cm="1">
        <f t="array" ref="DN593">SUM(DH593:DM593)</f>
        <v>0</v>
      </c>
      <c r="DO593" s="380"/>
      <c r="DP593" s="380"/>
    </row>
    <row r="594" ht="29.95" customHeight="1">
      <c r="DG594" t="s" s="364">
        <v>102</v>
      </c>
      <c r="DH594" s="345">
        <v>3</v>
      </c>
      <c r="DI594" s="339">
        <v>3</v>
      </c>
      <c r="DJ594" s="378"/>
      <c r="DK594" s="378"/>
      <c r="DL594" s="378"/>
      <c r="DM594" s="378"/>
      <c r="DN594" s="379" cm="1">
        <f t="array" ref="DN594">SUM(DH594:DM594)</f>
        <v>6</v>
      </c>
      <c r="DO594" s="380"/>
      <c r="DP594" s="380"/>
    </row>
    <row r="595" ht="29.95" customHeight="1">
      <c r="DG595" t="s" s="364">
        <v>102</v>
      </c>
      <c r="DH595" s="381"/>
      <c r="DI595" s="378"/>
      <c r="DJ595" s="378"/>
      <c r="DK595" s="378"/>
      <c r="DL595" s="378"/>
      <c r="DM595" s="378"/>
      <c r="DN595" s="379" cm="1">
        <f t="array" ref="DN595">SUM(DH595:DM595)</f>
        <v>0</v>
      </c>
      <c r="DO595" s="380"/>
      <c r="DP595" s="380"/>
    </row>
    <row r="596" ht="29.95" customHeight="1">
      <c r="DG596" t="s" s="386">
        <v>30</v>
      </c>
      <c r="DH596" s="387" cm="1">
        <f t="array" ref="DH596">SUM(DH546:DH570)</f>
        <v>7</v>
      </c>
      <c r="DI596" s="379" cm="1">
        <f t="array" ref="DI596">SUM(DI546:DI570)</f>
        <v>8</v>
      </c>
      <c r="DJ596" s="379" cm="1">
        <f t="array" ref="DJ596">SUM(DJ546:DJ570)</f>
        <v>0</v>
      </c>
      <c r="DK596" s="379" cm="1">
        <f t="array" ref="DK596">SUM(DK546:DK570)</f>
        <v>0</v>
      </c>
      <c r="DL596" s="379" cm="1">
        <f t="array" ref="DL596">SUM(DL546:DL595)</f>
        <v>0</v>
      </c>
      <c r="DM596" s="379" cm="1">
        <f t="array" ref="DM596">SUM(DM546:DM570)</f>
        <v>0</v>
      </c>
      <c r="DN596" s="379" cm="1">
        <f t="array" ref="DN596">SUM(DN546:DN570)</f>
        <v>15</v>
      </c>
      <c r="DO596" s="380"/>
      <c r="DP596" s="380"/>
    </row>
    <row r="598" ht="27.65" customHeight="1">
      <c r="DQ598" t="s" s="2">
        <v>150</v>
      </c>
      <c r="DR598" s="2"/>
      <c r="DS598" s="2"/>
      <c r="DT598" s="2"/>
      <c r="DU598" s="2"/>
      <c r="DV598" s="2"/>
      <c r="DW598" s="2"/>
      <c r="DX598" s="2"/>
      <c r="DY598" s="2"/>
      <c r="DZ598" s="2"/>
      <c r="EA598" s="2"/>
    </row>
    <row r="599" ht="53.7" customHeight="1">
      <c r="DQ599" s="371"/>
      <c r="DR599" t="s" s="3">
        <v>147</v>
      </c>
      <c r="DS599" t="s" s="3">
        <v>148</v>
      </c>
      <c r="DT599" s="371"/>
      <c r="DU599" s="371"/>
      <c r="DV599" s="371"/>
      <c r="DW599" s="371"/>
      <c r="DX599" t="s" s="354">
        <v>425</v>
      </c>
      <c r="DY599" t="s" s="354">
        <v>68</v>
      </c>
      <c r="DZ599" t="s" s="354">
        <v>69</v>
      </c>
      <c r="EA599" t="s" s="354">
        <v>426</v>
      </c>
    </row>
    <row r="600" ht="33.75" customHeight="1">
      <c r="DQ600" t="s" s="399">
        <v>35</v>
      </c>
      <c r="DR600" s="374"/>
      <c r="DS600" s="375"/>
      <c r="DT600" s="375"/>
      <c r="DU600" s="375"/>
      <c r="DV600" s="375"/>
      <c r="DW600" s="375"/>
      <c r="DX600" s="375"/>
      <c r="DY600" s="375"/>
      <c r="DZ600" s="375"/>
      <c r="EA600" s="375"/>
    </row>
    <row r="601" ht="33.45" customHeight="1">
      <c r="DQ601" t="s" s="386">
        <v>47</v>
      </c>
      <c r="DR601" s="381"/>
      <c r="DS601" s="378"/>
      <c r="DT601" s="378"/>
      <c r="DU601" s="378"/>
      <c r="DV601" s="378"/>
      <c r="DW601" s="378"/>
      <c r="DX601" s="378"/>
      <c r="DY601" s="378"/>
      <c r="DZ601" s="378"/>
      <c r="EA601" s="378"/>
    </row>
    <row r="602" ht="33.45" customHeight="1">
      <c r="DQ602" t="s" s="386">
        <v>10</v>
      </c>
      <c r="DR602" s="381"/>
      <c r="DS602" s="378"/>
      <c r="DT602" s="378"/>
      <c r="DU602" s="378"/>
      <c r="DV602" s="378"/>
      <c r="DW602" s="378"/>
      <c r="DX602" s="378"/>
      <c r="DY602" s="378"/>
      <c r="DZ602" s="378"/>
      <c r="EA602" s="378"/>
    </row>
    <row r="603" ht="53.45" customHeight="1">
      <c r="DQ603" t="s" s="386">
        <v>32</v>
      </c>
      <c r="DR603" s="381"/>
      <c r="DS603" s="378"/>
      <c r="DT603" s="378"/>
      <c r="DU603" s="378"/>
      <c r="DV603" s="378"/>
      <c r="DW603" s="378"/>
      <c r="DX603" s="378"/>
      <c r="DY603" s="378"/>
      <c r="DZ603" s="378"/>
      <c r="EA603" s="378"/>
    </row>
    <row r="604" ht="33.45" customHeight="1">
      <c r="DQ604" t="s" s="386">
        <v>16</v>
      </c>
      <c r="DR604" s="381"/>
      <c r="DS604" s="378"/>
      <c r="DT604" s="378"/>
      <c r="DU604" s="378"/>
      <c r="DV604" s="378"/>
      <c r="DW604" s="378"/>
      <c r="DX604" s="378"/>
      <c r="DY604" s="378"/>
      <c r="DZ604" s="378"/>
      <c r="EA604" s="378"/>
    </row>
    <row r="605" ht="33.45" customHeight="1">
      <c r="DQ605" t="s" s="386">
        <v>18</v>
      </c>
      <c r="DR605" s="381"/>
      <c r="DS605" s="378"/>
      <c r="DT605" s="378"/>
      <c r="DU605" s="378"/>
      <c r="DV605" s="378"/>
      <c r="DW605" s="378"/>
      <c r="DX605" s="378"/>
      <c r="DY605" s="378"/>
      <c r="DZ605" s="378"/>
      <c r="EA605" s="378"/>
    </row>
    <row r="606" ht="33.45" customHeight="1">
      <c r="DQ606" t="s" s="386">
        <v>287</v>
      </c>
      <c r="DR606" s="381"/>
      <c r="DS606" s="378"/>
      <c r="DT606" s="378"/>
      <c r="DU606" s="378"/>
      <c r="DV606" s="378"/>
      <c r="DW606" s="378"/>
      <c r="DX606" s="378"/>
      <c r="DY606" s="378"/>
      <c r="DZ606" s="378"/>
      <c r="EA606" s="378"/>
    </row>
    <row r="607" ht="33.45" customHeight="1">
      <c r="DQ607" t="s" s="386">
        <v>45</v>
      </c>
      <c r="DR607" s="381"/>
      <c r="DS607" s="378"/>
      <c r="DT607" s="378"/>
      <c r="DU607" s="378"/>
      <c r="DV607" s="378"/>
      <c r="DW607" s="378"/>
      <c r="DX607" s="378"/>
      <c r="DY607" s="378"/>
      <c r="DZ607" s="378"/>
      <c r="EA607" s="378"/>
    </row>
    <row r="608" ht="33.45" customHeight="1">
      <c r="DQ608" t="s" s="386">
        <v>154</v>
      </c>
      <c r="DR608" s="381"/>
      <c r="DS608" s="378"/>
      <c r="DT608" s="378"/>
      <c r="DU608" s="378"/>
      <c r="DV608" s="378"/>
      <c r="DW608" s="378"/>
      <c r="DX608" s="378"/>
      <c r="DY608" s="378"/>
      <c r="DZ608" s="378"/>
      <c r="EA608" s="378"/>
    </row>
    <row r="609" ht="33.45" customHeight="1">
      <c r="DQ609" t="s" s="386">
        <v>257</v>
      </c>
      <c r="DR609" s="381"/>
      <c r="DS609" s="378"/>
      <c r="DT609" s="378"/>
      <c r="DU609" s="378"/>
      <c r="DV609" s="378"/>
      <c r="DW609" s="378"/>
      <c r="DX609" s="378"/>
      <c r="DY609" s="378"/>
      <c r="DZ609" s="378"/>
      <c r="EA609" s="378"/>
    </row>
    <row r="610" ht="33.45" customHeight="1">
      <c r="DQ610" t="s" s="386">
        <v>391</v>
      </c>
      <c r="DR610" s="381"/>
      <c r="DS610" s="378"/>
      <c r="DT610" s="378"/>
      <c r="DU610" s="378"/>
      <c r="DV610" s="378"/>
      <c r="DW610" s="378"/>
      <c r="DX610" s="378"/>
      <c r="DY610" s="378"/>
      <c r="DZ610" s="378"/>
      <c r="EA610" s="378"/>
    </row>
    <row r="611" ht="33.45" customHeight="1">
      <c r="DQ611" t="s" s="386">
        <v>393</v>
      </c>
      <c r="DR611" s="381"/>
      <c r="DS611" s="378"/>
      <c r="DT611" s="378"/>
      <c r="DU611" s="378"/>
      <c r="DV611" s="378"/>
      <c r="DW611" s="378"/>
      <c r="DX611" s="378"/>
      <c r="DY611" s="378"/>
      <c r="DZ611" s="378"/>
      <c r="EA611" s="378"/>
    </row>
    <row r="612" ht="33.45" customHeight="1">
      <c r="DQ612" t="s" s="386">
        <v>395</v>
      </c>
      <c r="DR612" s="381"/>
      <c r="DS612" s="378"/>
      <c r="DT612" s="378"/>
      <c r="DU612" s="378"/>
      <c r="DV612" s="378"/>
      <c r="DW612" s="378"/>
      <c r="DX612" s="378"/>
      <c r="DY612" s="378"/>
      <c r="DZ612" s="378"/>
      <c r="EA612" s="378"/>
    </row>
    <row r="613" ht="33.45" customHeight="1">
      <c r="DQ613" t="s" s="386">
        <v>155</v>
      </c>
      <c r="DR613" s="381"/>
      <c r="DS613" s="378"/>
      <c r="DT613" s="378"/>
      <c r="DU613" s="378"/>
      <c r="DV613" s="378"/>
      <c r="DW613" s="378"/>
      <c r="DX613" s="378"/>
      <c r="DY613" s="378"/>
      <c r="DZ613" s="378"/>
      <c r="EA613" s="378"/>
    </row>
    <row r="614" ht="33.45" customHeight="1">
      <c r="DQ614" t="s" s="386">
        <v>37</v>
      </c>
      <c r="DR614" s="381"/>
      <c r="DS614" s="378"/>
      <c r="DT614" s="378"/>
      <c r="DU614" s="378"/>
      <c r="DV614" s="378"/>
      <c r="DW614" s="378"/>
      <c r="DX614" s="378"/>
      <c r="DY614" s="378"/>
      <c r="DZ614" s="378"/>
      <c r="EA614" s="378"/>
    </row>
    <row r="615" ht="22.75" customHeight="1">
      <c r="DQ615" t="s" s="386">
        <v>19</v>
      </c>
      <c r="DR615" s="381"/>
      <c r="DS615" s="378"/>
      <c r="DT615" s="378"/>
      <c r="DU615" s="378"/>
      <c r="DV615" s="378"/>
      <c r="DW615" s="378"/>
      <c r="DX615" s="378"/>
      <c r="DY615" s="378"/>
      <c r="DZ615" s="378"/>
      <c r="EA615" s="378"/>
    </row>
    <row r="616" ht="22.75" customHeight="1">
      <c r="DQ616" t="s" s="386">
        <v>239</v>
      </c>
      <c r="DR616" s="381"/>
      <c r="DS616" s="378"/>
      <c r="DT616" s="378"/>
      <c r="DU616" s="378"/>
      <c r="DV616" s="378"/>
      <c r="DW616" s="378"/>
      <c r="DX616" s="378"/>
      <c r="DY616" s="378"/>
      <c r="DZ616" s="378"/>
      <c r="EA616" s="378"/>
    </row>
    <row r="617" ht="33.45" customHeight="1">
      <c r="DQ617" t="s" s="386">
        <v>262</v>
      </c>
      <c r="DR617" s="381"/>
      <c r="DS617" s="378"/>
      <c r="DT617" s="378"/>
      <c r="DU617" s="378"/>
      <c r="DV617" s="378"/>
      <c r="DW617" s="378"/>
      <c r="DX617" s="378"/>
      <c r="DY617" s="378"/>
      <c r="DZ617" s="378"/>
      <c r="EA617" s="378"/>
    </row>
    <row r="618" ht="33.45" customHeight="1">
      <c r="DQ618" t="s" s="386">
        <v>265</v>
      </c>
      <c r="DR618" s="381"/>
      <c r="DS618" s="378"/>
      <c r="DT618" s="378"/>
      <c r="DU618" s="378"/>
      <c r="DV618" s="378"/>
      <c r="DW618" s="378"/>
      <c r="DX618" s="378"/>
      <c r="DY618" s="378"/>
      <c r="DZ618" s="378"/>
      <c r="EA618" s="378"/>
    </row>
    <row r="619" ht="33.45" customHeight="1">
      <c r="DQ619" t="s" s="386">
        <v>250</v>
      </c>
      <c r="DR619" s="381"/>
      <c r="DS619" s="378"/>
      <c r="DT619" s="378"/>
      <c r="DU619" s="378"/>
      <c r="DV619" s="378"/>
      <c r="DW619" s="378"/>
      <c r="DX619" s="378"/>
      <c r="DY619" s="378"/>
      <c r="DZ619" s="378"/>
      <c r="EA619" s="378"/>
    </row>
    <row r="620" ht="33.45" customHeight="1">
      <c r="DQ620" t="s" s="386">
        <v>268</v>
      </c>
      <c r="DR620" s="381"/>
      <c r="DS620" s="378"/>
      <c r="DT620" s="378"/>
      <c r="DU620" s="378"/>
      <c r="DV620" s="378"/>
      <c r="DW620" s="378"/>
      <c r="DX620" s="378"/>
      <c r="DY620" s="378"/>
      <c r="DZ620" s="378"/>
      <c r="EA620" s="378"/>
    </row>
    <row r="621" ht="33.45" customHeight="1">
      <c r="DQ621" t="s" s="386">
        <v>156</v>
      </c>
      <c r="DR621" s="381"/>
      <c r="DS621" s="378"/>
      <c r="DT621" s="378"/>
      <c r="DU621" s="378"/>
      <c r="DV621" s="378"/>
      <c r="DW621" s="378"/>
      <c r="DX621" s="378"/>
      <c r="DY621" s="378"/>
      <c r="DZ621" s="378"/>
      <c r="EA621" s="378"/>
    </row>
    <row r="622" ht="33.45" customHeight="1">
      <c r="DQ622" t="s" s="386">
        <v>259</v>
      </c>
      <c r="DR622" s="381"/>
      <c r="DS622" s="378"/>
      <c r="DT622" s="378"/>
      <c r="DU622" s="378"/>
      <c r="DV622" s="378"/>
      <c r="DW622" s="378"/>
      <c r="DX622" s="378"/>
      <c r="DY622" s="378"/>
      <c r="DZ622" s="378"/>
      <c r="EA622" s="378"/>
    </row>
    <row r="623" ht="32.5" customHeight="1">
      <c r="DQ623" t="s" s="386">
        <v>274</v>
      </c>
      <c r="DR623" s="381"/>
      <c r="DS623" s="378"/>
      <c r="DT623" s="378"/>
      <c r="DU623" s="378"/>
      <c r="DV623" s="378"/>
      <c r="DW623" s="378"/>
      <c r="DX623" s="378"/>
      <c r="DY623" s="378"/>
      <c r="DZ623" s="378"/>
      <c r="EA623" s="378"/>
    </row>
    <row r="624" ht="22.75" customHeight="1">
      <c r="DQ624" t="s" s="386">
        <v>48</v>
      </c>
      <c r="DR624" s="381"/>
      <c r="DS624" s="378"/>
      <c r="DT624" s="378"/>
      <c r="DU624" s="378"/>
      <c r="DV624" s="378"/>
      <c r="DW624" s="378"/>
      <c r="DX624" s="378"/>
      <c r="DY624" s="378"/>
      <c r="DZ624" s="378"/>
      <c r="EA624" s="378"/>
    </row>
    <row r="625" ht="22.75" customHeight="1">
      <c r="DQ625" t="s" s="386">
        <v>49</v>
      </c>
      <c r="DR625" s="381"/>
      <c r="DS625" s="378"/>
      <c r="DT625" s="378"/>
      <c r="DU625" s="378"/>
      <c r="DV625" s="378"/>
      <c r="DW625" s="378"/>
      <c r="DX625" s="378"/>
      <c r="DY625" s="378"/>
      <c r="DZ625" s="378"/>
      <c r="EA625" s="378"/>
    </row>
    <row r="626" ht="22.75" customHeight="1">
      <c r="DQ626" t="s" s="386">
        <v>50</v>
      </c>
      <c r="DR626" s="381"/>
      <c r="DS626" s="378"/>
      <c r="DT626" s="378"/>
      <c r="DU626" s="378"/>
      <c r="DV626" s="378"/>
      <c r="DW626" s="378"/>
      <c r="DX626" s="378"/>
      <c r="DY626" s="378"/>
      <c r="DZ626" s="378"/>
      <c r="EA626" s="378"/>
    </row>
    <row r="627" ht="36.4" customHeight="1">
      <c r="DQ627" t="s" s="386">
        <v>51</v>
      </c>
      <c r="DR627" s="381"/>
      <c r="DS627" s="378"/>
      <c r="DT627" s="378"/>
      <c r="DU627" s="378"/>
      <c r="DV627" s="378"/>
      <c r="DW627" s="378"/>
      <c r="DX627" s="378"/>
      <c r="DY627" s="378"/>
      <c r="DZ627" s="378"/>
      <c r="EA627" s="378"/>
    </row>
    <row r="628" ht="22.75" customHeight="1">
      <c r="DQ628" t="s" s="386">
        <v>52</v>
      </c>
      <c r="DR628" s="381"/>
      <c r="DS628" s="378"/>
      <c r="DT628" s="378"/>
      <c r="DU628" s="378"/>
      <c r="DV628" s="378"/>
      <c r="DW628" s="378"/>
      <c r="DX628" s="378"/>
      <c r="DY628" s="378"/>
      <c r="DZ628" s="378"/>
      <c r="EA628" s="378"/>
    </row>
    <row r="629" ht="22.75" customHeight="1">
      <c r="DQ629" t="s" s="386">
        <v>115</v>
      </c>
      <c r="DR629" s="381"/>
      <c r="DS629" s="378"/>
      <c r="DT629" s="378"/>
      <c r="DU629" s="378"/>
      <c r="DV629" s="378"/>
      <c r="DW629" s="378"/>
      <c r="DX629" s="378"/>
      <c r="DY629" s="378"/>
      <c r="DZ629" s="378"/>
      <c r="EA629" s="378"/>
    </row>
    <row r="630" ht="22.75" customHeight="1">
      <c r="DQ630" t="s" s="386">
        <v>197</v>
      </c>
      <c r="DR630" s="381"/>
      <c r="DS630" s="378"/>
      <c r="DT630" s="378"/>
      <c r="DU630" s="378"/>
      <c r="DV630" s="378"/>
      <c r="DW630" s="378"/>
      <c r="DX630" s="378"/>
      <c r="DY630" s="378"/>
      <c r="DZ630" s="378"/>
      <c r="EA630" s="378"/>
    </row>
    <row r="631" ht="36.4" customHeight="1">
      <c r="DQ631" t="s" s="386">
        <v>46</v>
      </c>
      <c r="DR631" s="381"/>
      <c r="DS631" s="378"/>
      <c r="DT631" s="378"/>
      <c r="DU631" s="378"/>
      <c r="DV631" s="378"/>
      <c r="DW631" s="378"/>
      <c r="DX631" s="378"/>
      <c r="DY631" s="378"/>
      <c r="DZ631" s="378"/>
      <c r="EA631" s="378"/>
    </row>
    <row r="632" ht="22.75" customHeight="1">
      <c r="DQ632" t="s" s="386">
        <v>191</v>
      </c>
      <c r="DR632" s="381"/>
      <c r="DS632" s="378"/>
      <c r="DT632" s="378"/>
      <c r="DU632" s="378"/>
      <c r="DV632" s="378"/>
      <c r="DW632" s="378"/>
      <c r="DX632" s="378"/>
      <c r="DY632" s="378"/>
      <c r="DZ632" s="378"/>
      <c r="EA632" s="378"/>
    </row>
    <row r="633" ht="22.75" customHeight="1">
      <c r="DQ633" t="s" s="386">
        <v>109</v>
      </c>
      <c r="DR633" s="381"/>
      <c r="DS633" s="378"/>
      <c r="DT633" s="378"/>
      <c r="DU633" s="378"/>
      <c r="DV633" s="378"/>
      <c r="DW633" s="378"/>
      <c r="DX633" s="378"/>
      <c r="DY633" s="378"/>
      <c r="DZ633" s="378"/>
      <c r="EA633" s="378"/>
    </row>
    <row r="634" ht="22.75" customHeight="1">
      <c r="DQ634" t="s" s="386">
        <v>270</v>
      </c>
      <c r="DR634" s="381"/>
      <c r="DS634" s="378"/>
      <c r="DT634" s="378"/>
      <c r="DU634" s="378"/>
      <c r="DV634" s="378"/>
      <c r="DW634" s="378"/>
      <c r="DX634" s="378"/>
      <c r="DY634" s="378"/>
      <c r="DZ634" s="378"/>
      <c r="EA634" s="378"/>
    </row>
    <row r="635" ht="22.75" customHeight="1">
      <c r="DQ635" t="s" s="386">
        <v>272</v>
      </c>
      <c r="DR635" s="381"/>
      <c r="DS635" s="378"/>
      <c r="DT635" s="378"/>
      <c r="DU635" s="378"/>
      <c r="DV635" s="378"/>
      <c r="DW635" s="378"/>
      <c r="DX635" s="378"/>
      <c r="DY635" s="378"/>
      <c r="DZ635" s="378"/>
      <c r="EA635" s="378"/>
    </row>
    <row r="636" ht="22.75" customHeight="1">
      <c r="DQ636" t="s" s="386">
        <v>319</v>
      </c>
      <c r="DR636" s="381"/>
      <c r="DS636" s="378"/>
      <c r="DT636" s="378"/>
      <c r="DU636" s="378"/>
      <c r="DV636" s="378"/>
      <c r="DW636" s="378"/>
      <c r="DX636" s="378"/>
      <c r="DY636" s="378"/>
      <c r="DZ636" s="378"/>
      <c r="EA636" s="378"/>
    </row>
    <row r="637" ht="22.75" customHeight="1">
      <c r="DQ637" t="s" s="386">
        <v>352</v>
      </c>
      <c r="DR637" s="381"/>
      <c r="DS637" s="378"/>
      <c r="DT637" s="378"/>
      <c r="DU637" s="378"/>
      <c r="DV637" s="378"/>
      <c r="DW637" s="378"/>
      <c r="DX637" s="378"/>
      <c r="DY637" s="378"/>
      <c r="DZ637" s="378"/>
      <c r="EA637" s="378"/>
    </row>
    <row r="638" ht="36.4" customHeight="1">
      <c r="DQ638" t="s" s="386">
        <v>349</v>
      </c>
      <c r="DR638" s="381"/>
      <c r="DS638" s="378"/>
      <c r="DT638" s="378"/>
      <c r="DU638" s="378"/>
      <c r="DV638" s="378"/>
      <c r="DW638" s="378"/>
      <c r="DX638" s="378"/>
      <c r="DY638" s="378"/>
      <c r="DZ638" s="378"/>
      <c r="EA638" s="378"/>
    </row>
    <row r="639" ht="32.25" customHeight="1">
      <c r="DQ639" t="s" s="264">
        <v>358</v>
      </c>
      <c r="DR639" s="381"/>
      <c r="DS639" s="378"/>
      <c r="DT639" s="378"/>
      <c r="DU639" s="378"/>
      <c r="DV639" s="378"/>
      <c r="DW639" s="378"/>
      <c r="DX639" s="378"/>
      <c r="DY639" s="378"/>
      <c r="DZ639" s="378"/>
      <c r="EA639" s="378"/>
    </row>
    <row r="640" ht="37.25" customHeight="1">
      <c r="DQ640" t="s" s="264">
        <v>359</v>
      </c>
      <c r="DR640" s="381"/>
      <c r="DS640" s="378"/>
      <c r="DT640" s="378"/>
      <c r="DU640" s="378"/>
      <c r="DV640" s="378"/>
      <c r="DW640" s="378"/>
      <c r="DX640" s="378"/>
      <c r="DY640" s="378"/>
      <c r="DZ640" s="378"/>
      <c r="EA640" s="378"/>
    </row>
    <row r="641" ht="37.25" customHeight="1">
      <c r="DQ641" t="s" s="264">
        <v>360</v>
      </c>
      <c r="DR641" s="381"/>
      <c r="DS641" s="378"/>
      <c r="DT641" s="378"/>
      <c r="DU641" s="378"/>
      <c r="DV641" s="378"/>
      <c r="DW641" s="378"/>
      <c r="DX641" s="378"/>
      <c r="DY641" s="378"/>
      <c r="DZ641" s="378"/>
      <c r="EA641" s="378"/>
    </row>
    <row r="642" ht="37.25" customHeight="1">
      <c r="DQ642" t="s" s="255">
        <v>365</v>
      </c>
      <c r="DR642" s="381"/>
      <c r="DS642" s="378"/>
      <c r="DT642" s="378"/>
      <c r="DU642" s="378"/>
      <c r="DV642" s="378"/>
      <c r="DW642" s="378"/>
      <c r="DX642" s="378"/>
      <c r="DY642" s="378"/>
      <c r="DZ642" s="378"/>
      <c r="EA642" s="378"/>
    </row>
    <row r="643" ht="37.25" customHeight="1">
      <c r="DQ643" t="s" s="264">
        <v>363</v>
      </c>
      <c r="DR643" s="381"/>
      <c r="DS643" s="378"/>
      <c r="DT643" s="378"/>
      <c r="DU643" s="378"/>
      <c r="DV643" s="378"/>
      <c r="DW643" s="378"/>
      <c r="DX643" s="378"/>
      <c r="DY643" s="378"/>
      <c r="DZ643" s="378"/>
      <c r="EA643" s="378"/>
    </row>
    <row r="644" ht="37.25" customHeight="1">
      <c r="DQ644" t="s" s="264">
        <v>368</v>
      </c>
      <c r="DR644" s="381"/>
      <c r="DS644" s="378"/>
      <c r="DT644" s="378"/>
      <c r="DU644" s="378"/>
      <c r="DV644" s="378"/>
      <c r="DW644" s="378"/>
      <c r="DX644" s="378"/>
      <c r="DY644" s="378"/>
      <c r="DZ644" s="378"/>
      <c r="EA644" s="378"/>
    </row>
    <row r="645" ht="37.25" customHeight="1">
      <c r="DQ645" t="s" s="264">
        <v>371</v>
      </c>
      <c r="DR645" s="381"/>
      <c r="DS645" s="378"/>
      <c r="DT645" s="378"/>
      <c r="DU645" s="378"/>
      <c r="DV645" s="378"/>
      <c r="DW645" s="378"/>
      <c r="DX645" s="378"/>
      <c r="DY645" s="378"/>
      <c r="DZ645" s="378"/>
      <c r="EA645" s="378"/>
    </row>
    <row r="646" ht="37.25" customHeight="1">
      <c r="DQ646" t="s" s="364">
        <v>102</v>
      </c>
      <c r="DR646" s="381"/>
      <c r="DS646" s="378"/>
      <c r="DT646" s="378"/>
      <c r="DU646" s="378"/>
      <c r="DV646" s="378"/>
      <c r="DW646" s="378"/>
      <c r="DX646" s="378"/>
      <c r="DY646" s="378"/>
      <c r="DZ646" s="378"/>
      <c r="EA646" s="378"/>
    </row>
    <row r="647" ht="37.3" customHeight="1">
      <c r="DQ647" t="s" s="364">
        <v>102</v>
      </c>
      <c r="DR647" s="381"/>
      <c r="DS647" s="378"/>
      <c r="DT647" s="378"/>
      <c r="DU647" s="378"/>
      <c r="DV647" s="378"/>
      <c r="DW647" s="378"/>
      <c r="DX647" s="378"/>
      <c r="DY647" s="378"/>
      <c r="DZ647" s="378"/>
      <c r="EA647" s="378"/>
    </row>
    <row r="648" ht="25.45" customHeight="1">
      <c r="DQ648" t="s" s="386">
        <v>30</v>
      </c>
      <c r="DR648" s="387" cm="1">
        <f t="array" ref="DR648">SUM(DR600:DR647)</f>
        <v>0</v>
      </c>
      <c r="DS648" s="379" cm="1">
        <f t="array" ref="DS648">SUM(DS600:DS647)</f>
        <v>0</v>
      </c>
      <c r="DT648" s="379" cm="1">
        <f t="array" ref="DT648">SUM(DT600:DT647)</f>
        <v>0</v>
      </c>
      <c r="DU648" s="379" cm="1">
        <f t="array" ref="DU648">SUM(DU600:DU647)</f>
        <v>0</v>
      </c>
      <c r="DV648" s="379" cm="1">
        <f t="array" ref="DV648">SUM(DV600:DV647)</f>
        <v>0</v>
      </c>
      <c r="DW648" s="379" cm="1">
        <f t="array" ref="DW648">SUM(DW600:DW647)</f>
        <v>0</v>
      </c>
      <c r="DX648" s="379" cm="1">
        <f t="array" ref="DX648">SUM(DX600:DX647)</f>
        <v>0</v>
      </c>
      <c r="DY648" s="379" cm="1">
        <f t="array" ref="DY648">DC543+CH437+BM331+AN225</f>
        <v>0</v>
      </c>
      <c r="DZ648" s="379" cm="1">
        <f t="array" ref="DZ648">SUM(DZ600:DZ647)</f>
        <v>0</v>
      </c>
      <c r="EA648" s="380"/>
    </row>
  </sheetData>
  <mergeCells count="14">
    <mergeCell ref="B2:P2"/>
    <mergeCell ref="C39:G39"/>
    <mergeCell ref="C43:F43"/>
    <mergeCell ref="C61:F61"/>
    <mergeCell ref="C44:I44"/>
    <mergeCell ref="AA121:AJ121"/>
    <mergeCell ref="AK175:AU175"/>
    <mergeCell ref="AV227:BE227"/>
    <mergeCell ref="BF281:BP281"/>
    <mergeCell ref="BQ333:BZ333"/>
    <mergeCell ref="CA387:CK387"/>
    <mergeCell ref="CL439:CU439"/>
    <mergeCell ref="CV493:DF493"/>
    <mergeCell ref="DQ598:EA59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B3:BZ421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2.61719" style="402" customWidth="1"/>
    <col min="2" max="2" width="35.5312" style="402" customWidth="1"/>
    <col min="3" max="5" width="16.3516" style="402" customWidth="1"/>
    <col min="6" max="6" width="20.6641" style="402" customWidth="1"/>
    <col min="7" max="7" width="16.3516" style="402" customWidth="1"/>
    <col min="8" max="17" width="16.625" style="402" customWidth="1"/>
    <col min="18" max="18" width="17.2578" style="425" customWidth="1"/>
    <col min="19" max="19" width="18.3359" style="425" customWidth="1"/>
    <col min="20" max="20" width="20.4766" style="425" customWidth="1"/>
    <col min="21" max="21" width="48.4297" style="425" customWidth="1"/>
    <col min="22" max="26" width="23.0938" style="425" customWidth="1"/>
    <col min="27" max="27" width="27.7656" style="425" customWidth="1"/>
    <col min="28" max="28" width="29.9453" style="425" customWidth="1"/>
    <col min="29" max="29" width="43.375" style="428" customWidth="1"/>
    <col min="30" max="38" width="19.4375" style="428" customWidth="1"/>
    <col min="39" max="39" width="42.8438" style="432" customWidth="1"/>
    <col min="40" max="48" width="19.0703" style="432" customWidth="1"/>
    <col min="49" max="49" width="44.5703" style="434" customWidth="1"/>
    <col min="50" max="58" width="19.5078" style="434" customWidth="1"/>
    <col min="59" max="59" width="47.5234" style="437" customWidth="1"/>
    <col min="60" max="68" width="19.5938" style="437" customWidth="1"/>
    <col min="69" max="69" width="51.4062" style="438" customWidth="1"/>
    <col min="70" max="78" width="19.625" style="438" customWidth="1"/>
    <col min="79" max="16384" width="16.3516" style="438" customWidth="1"/>
  </cols>
  <sheetData>
    <row r="1" ht="211.95" customHeight="1"/>
    <row r="2" ht="27.65" customHeight="1">
      <c r="B2" t="s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40.15" customHeight="1">
      <c r="B3" t="s" s="249">
        <v>1</v>
      </c>
      <c r="C3" t="s" s="249">
        <v>229</v>
      </c>
      <c r="D3" t="s" s="249">
        <v>2</v>
      </c>
      <c r="E3" t="s" s="249">
        <v>3</v>
      </c>
      <c r="F3" t="s" s="249">
        <v>4</v>
      </c>
      <c r="G3" t="s" s="249">
        <v>158</v>
      </c>
      <c r="H3" t="s" s="249">
        <v>151</v>
      </c>
      <c r="I3" t="s" s="249">
        <v>230</v>
      </c>
      <c r="J3" t="s" s="249">
        <v>346</v>
      </c>
      <c r="K3" t="s" s="249">
        <v>428</v>
      </c>
      <c r="L3" t="s" s="249">
        <v>5</v>
      </c>
      <c r="M3" t="s" s="249">
        <v>6</v>
      </c>
      <c r="N3" t="s" s="249">
        <v>160</v>
      </c>
      <c r="O3" t="s" s="249">
        <v>8</v>
      </c>
      <c r="P3" t="s" s="249">
        <v>9</v>
      </c>
      <c r="Q3" t="s" s="249">
        <v>161</v>
      </c>
    </row>
    <row r="4" ht="29.55" customHeight="1">
      <c r="B4" t="s" s="250">
        <v>16</v>
      </c>
      <c r="C4" t="s" s="403">
        <v>163</v>
      </c>
      <c r="D4" t="s" s="404">
        <v>162</v>
      </c>
      <c r="E4" t="s" s="404">
        <v>25</v>
      </c>
      <c r="F4" t="s" s="404">
        <v>184</v>
      </c>
      <c r="G4" t="s" s="404">
        <v>231</v>
      </c>
      <c r="H4" s="253">
        <v>4500</v>
      </c>
      <c r="I4" s="254">
        <v>0</v>
      </c>
      <c r="J4" s="254">
        <v>0</v>
      </c>
      <c r="K4" s="254"/>
      <c r="L4" t="s" s="252">
        <v>12</v>
      </c>
      <c r="M4" t="s" s="252">
        <v>12</v>
      </c>
      <c r="N4" t="s" s="252">
        <v>12</v>
      </c>
      <c r="O4" t="s" s="252">
        <v>14</v>
      </c>
      <c r="P4" t="s" s="252">
        <v>15</v>
      </c>
      <c r="Q4" t="s" s="252">
        <v>13</v>
      </c>
    </row>
    <row r="5" ht="29.35" customHeight="1">
      <c r="B5" t="s" s="264">
        <v>109</v>
      </c>
      <c r="C5" t="s" s="405">
        <v>233</v>
      </c>
      <c r="D5" t="s" s="406">
        <v>162</v>
      </c>
      <c r="E5" t="s" s="406">
        <v>429</v>
      </c>
      <c r="F5" t="s" s="406">
        <v>6</v>
      </c>
      <c r="G5" s="407"/>
      <c r="H5" s="261">
        <v>0</v>
      </c>
      <c r="I5" s="261">
        <v>0</v>
      </c>
      <c r="J5" s="261">
        <v>0</v>
      </c>
      <c r="K5" s="261"/>
      <c r="L5" t="s" s="257">
        <v>13</v>
      </c>
      <c r="M5" t="s" s="257">
        <v>12</v>
      </c>
      <c r="N5" t="s" s="257">
        <v>13</v>
      </c>
      <c r="O5" t="s" s="257">
        <v>179</v>
      </c>
      <c r="P5" t="s" s="257">
        <v>179</v>
      </c>
      <c r="Q5" t="s" s="257">
        <v>13</v>
      </c>
    </row>
    <row r="6" ht="29.35" customHeight="1">
      <c r="B6" t="s" s="255">
        <v>155</v>
      </c>
      <c r="C6" t="s" s="405">
        <v>182</v>
      </c>
      <c r="D6" t="s" s="263">
        <v>177</v>
      </c>
      <c r="E6" t="s" s="406">
        <v>25</v>
      </c>
      <c r="F6" t="s" s="406">
        <v>184</v>
      </c>
      <c r="G6" t="s" s="406">
        <v>185</v>
      </c>
      <c r="H6" s="260">
        <v>3500</v>
      </c>
      <c r="I6" s="261">
        <v>0</v>
      </c>
      <c r="J6" s="261">
        <v>0</v>
      </c>
      <c r="K6" s="261"/>
      <c r="L6" t="s" s="257">
        <v>12</v>
      </c>
      <c r="M6" t="s" s="257">
        <v>12</v>
      </c>
      <c r="N6" t="s" s="257">
        <v>12</v>
      </c>
      <c r="O6" t="s" s="257">
        <v>14</v>
      </c>
      <c r="P6" t="s" s="257">
        <v>15</v>
      </c>
      <c r="Q6" t="s" s="257">
        <v>13</v>
      </c>
    </row>
    <row r="7" ht="29.35" customHeight="1">
      <c r="B7" t="s" s="264">
        <v>47</v>
      </c>
      <c r="C7" t="s" s="408">
        <v>248</v>
      </c>
      <c r="D7" t="s" s="266">
        <v>162</v>
      </c>
      <c r="E7" s="258">
        <v>450</v>
      </c>
      <c r="F7" t="s" s="257">
        <v>243</v>
      </c>
      <c r="G7" t="s" s="409">
        <v>430</v>
      </c>
      <c r="H7" s="261">
        <v>0</v>
      </c>
      <c r="I7" s="260">
        <v>900</v>
      </c>
      <c r="J7" s="261">
        <v>0</v>
      </c>
      <c r="K7" s="267"/>
      <c r="L7" t="s" s="257">
        <v>12</v>
      </c>
      <c r="M7" t="s" s="257">
        <v>12</v>
      </c>
      <c r="N7" t="s" s="257">
        <v>12</v>
      </c>
      <c r="O7" t="s" s="257">
        <v>348</v>
      </c>
      <c r="P7" t="s" s="257">
        <v>14</v>
      </c>
      <c r="Q7" t="s" s="257">
        <v>249</v>
      </c>
    </row>
    <row r="8" ht="29.35" customHeight="1">
      <c r="B8" t="s" s="264">
        <v>349</v>
      </c>
      <c r="C8" t="s" s="410">
        <v>351</v>
      </c>
      <c r="D8" t="s" s="411">
        <v>162</v>
      </c>
      <c r="E8" s="260">
        <v>850</v>
      </c>
      <c r="F8" t="s" s="411">
        <v>347</v>
      </c>
      <c r="G8" t="s" s="411">
        <v>431</v>
      </c>
      <c r="H8" s="261">
        <v>0</v>
      </c>
      <c r="I8" s="261">
        <v>0</v>
      </c>
      <c r="J8" s="260">
        <v>850</v>
      </c>
      <c r="K8" s="260">
        <v>850</v>
      </c>
      <c r="L8" t="s" s="257">
        <v>13</v>
      </c>
      <c r="M8" t="s" s="257">
        <v>12</v>
      </c>
      <c r="N8" t="s" s="257">
        <v>13</v>
      </c>
      <c r="O8" t="s" s="257">
        <v>179</v>
      </c>
      <c r="P8" t="s" s="257">
        <v>179</v>
      </c>
      <c r="Q8" t="s" s="257">
        <v>13</v>
      </c>
    </row>
    <row r="9" ht="29.35" customHeight="1">
      <c r="B9" t="s" s="264">
        <v>262</v>
      </c>
      <c r="C9" t="s" s="410">
        <v>264</v>
      </c>
      <c r="D9" t="s" s="411">
        <v>162</v>
      </c>
      <c r="E9" s="260">
        <v>899</v>
      </c>
      <c r="F9" t="s" s="411">
        <v>252</v>
      </c>
      <c r="G9" t="s" s="411">
        <v>432</v>
      </c>
      <c r="H9" s="261">
        <v>0</v>
      </c>
      <c r="I9" s="260">
        <v>1200</v>
      </c>
      <c r="J9" s="261">
        <v>0</v>
      </c>
      <c r="K9" s="260">
        <v>899</v>
      </c>
      <c r="L9" t="s" s="257">
        <v>12</v>
      </c>
      <c r="M9" t="s" s="257">
        <v>12</v>
      </c>
      <c r="N9" t="s" s="257">
        <v>12</v>
      </c>
      <c r="O9" t="s" s="257">
        <v>348</v>
      </c>
      <c r="P9" t="s" s="257">
        <v>348</v>
      </c>
      <c r="Q9" t="s" s="257">
        <v>249</v>
      </c>
    </row>
    <row r="10" ht="29.35" customHeight="1">
      <c r="B10" t="s" s="264">
        <v>352</v>
      </c>
      <c r="C10" t="s" s="410">
        <v>370</v>
      </c>
      <c r="D10" t="s" s="411">
        <v>162</v>
      </c>
      <c r="E10" s="260">
        <v>1200</v>
      </c>
      <c r="F10" t="s" s="411">
        <v>269</v>
      </c>
      <c r="G10" t="s" s="411">
        <v>433</v>
      </c>
      <c r="H10" s="261">
        <v>0</v>
      </c>
      <c r="I10" s="261">
        <v>0</v>
      </c>
      <c r="J10" s="260">
        <v>1200</v>
      </c>
      <c r="K10" s="260">
        <v>1200</v>
      </c>
      <c r="L10" t="s" s="257">
        <v>12</v>
      </c>
      <c r="M10" t="s" s="257">
        <v>12</v>
      </c>
      <c r="N10" t="s" s="257">
        <v>12</v>
      </c>
      <c r="O10" t="s" s="257">
        <v>348</v>
      </c>
      <c r="P10" t="s" s="257">
        <v>348</v>
      </c>
      <c r="Q10" t="s" s="257">
        <v>249</v>
      </c>
    </row>
    <row r="11" ht="29.35" customHeight="1">
      <c r="B11" t="s" s="264">
        <v>358</v>
      </c>
      <c r="C11" t="s" s="410">
        <v>246</v>
      </c>
      <c r="D11" t="s" s="411">
        <v>162</v>
      </c>
      <c r="E11" s="260">
        <v>1200</v>
      </c>
      <c r="F11" t="s" s="411">
        <v>269</v>
      </c>
      <c r="G11" t="s" s="411">
        <v>434</v>
      </c>
      <c r="H11" s="261">
        <v>0</v>
      </c>
      <c r="I11" s="261">
        <v>0</v>
      </c>
      <c r="J11" s="260">
        <v>1200</v>
      </c>
      <c r="K11" s="260">
        <v>1200</v>
      </c>
      <c r="L11" t="s" s="257">
        <v>12</v>
      </c>
      <c r="M11" t="s" s="257">
        <v>12</v>
      </c>
      <c r="N11" t="s" s="257">
        <v>12</v>
      </c>
      <c r="O11" t="s" s="257">
        <v>348</v>
      </c>
      <c r="P11" t="s" s="257">
        <v>348</v>
      </c>
      <c r="Q11" t="s" s="257">
        <v>249</v>
      </c>
    </row>
    <row r="12" ht="22.75" customHeight="1">
      <c r="B12" t="s" s="255">
        <v>45</v>
      </c>
      <c r="C12" t="s" s="410">
        <v>271</v>
      </c>
      <c r="D12" t="s" s="411">
        <v>162</v>
      </c>
      <c r="E12" s="260">
        <v>995</v>
      </c>
      <c r="F12" t="s" s="411">
        <v>11</v>
      </c>
      <c r="G12" t="s" s="411">
        <v>435</v>
      </c>
      <c r="H12" s="260">
        <v>995</v>
      </c>
      <c r="I12" s="261">
        <v>0</v>
      </c>
      <c r="J12" s="260">
        <v>995</v>
      </c>
      <c r="K12" s="260">
        <v>995</v>
      </c>
      <c r="L12" t="s" s="257">
        <v>12</v>
      </c>
      <c r="M12" t="s" s="257">
        <v>12</v>
      </c>
      <c r="N12" t="s" s="257">
        <v>12</v>
      </c>
      <c r="O12" t="s" s="257">
        <v>31</v>
      </c>
      <c r="P12" t="s" s="257">
        <v>15</v>
      </c>
      <c r="Q12" t="s" s="257">
        <v>13</v>
      </c>
    </row>
    <row r="13" ht="29.35" customHeight="1">
      <c r="B13" t="s" s="255">
        <v>365</v>
      </c>
      <c r="C13" t="s" s="265">
        <v>351</v>
      </c>
      <c r="D13" t="s" s="266">
        <v>162</v>
      </c>
      <c r="E13" s="267">
        <v>1550</v>
      </c>
      <c r="F13" t="s" s="257">
        <v>26</v>
      </c>
      <c r="G13" t="s" s="266">
        <v>431</v>
      </c>
      <c r="H13" s="261">
        <v>0</v>
      </c>
      <c r="I13" s="261">
        <v>0</v>
      </c>
      <c r="J13" s="260">
        <v>1550</v>
      </c>
      <c r="K13" s="267"/>
      <c r="L13" t="s" s="257">
        <v>12</v>
      </c>
      <c r="M13" t="s" s="257">
        <v>12</v>
      </c>
      <c r="N13" t="s" s="257">
        <v>12</v>
      </c>
      <c r="O13" t="s" s="257">
        <v>348</v>
      </c>
      <c r="P13" t="s" s="257">
        <v>348</v>
      </c>
      <c r="Q13" t="s" s="257">
        <v>249</v>
      </c>
    </row>
    <row r="14" ht="29.35" customHeight="1">
      <c r="B14" t="s" s="264">
        <v>368</v>
      </c>
      <c r="C14" t="s" s="265">
        <v>367</v>
      </c>
      <c r="D14" t="s" s="266">
        <v>162</v>
      </c>
      <c r="E14" s="267">
        <v>1350</v>
      </c>
      <c r="F14" t="s" s="257">
        <v>269</v>
      </c>
      <c r="G14" t="s" s="266">
        <v>436</v>
      </c>
      <c r="H14" s="261">
        <v>0</v>
      </c>
      <c r="I14" s="261">
        <v>0</v>
      </c>
      <c r="J14" s="260">
        <v>1350</v>
      </c>
      <c r="K14" s="267"/>
      <c r="L14" t="s" s="257">
        <v>12</v>
      </c>
      <c r="M14" t="s" s="257">
        <v>12</v>
      </c>
      <c r="N14" t="s" s="257">
        <v>12</v>
      </c>
      <c r="O14" t="s" s="257">
        <v>348</v>
      </c>
      <c r="P14" t="s" s="257">
        <v>348</v>
      </c>
      <c r="Q14" t="s" s="257">
        <v>249</v>
      </c>
    </row>
    <row r="15" ht="29.35" customHeight="1">
      <c r="B15" t="s" s="264">
        <v>371</v>
      </c>
      <c r="C15" t="s" s="265">
        <v>367</v>
      </c>
      <c r="D15" t="s" s="266">
        <v>162</v>
      </c>
      <c r="E15" s="267">
        <v>1350</v>
      </c>
      <c r="F15" t="s" s="257">
        <v>269</v>
      </c>
      <c r="G15" t="s" s="266">
        <v>436</v>
      </c>
      <c r="H15" s="261">
        <v>0</v>
      </c>
      <c r="I15" s="261">
        <v>0</v>
      </c>
      <c r="J15" s="260">
        <v>1350</v>
      </c>
      <c r="K15" s="267"/>
      <c r="L15" t="s" s="257">
        <v>12</v>
      </c>
      <c r="M15" t="s" s="257">
        <v>12</v>
      </c>
      <c r="N15" t="s" s="257">
        <v>12</v>
      </c>
      <c r="O15" t="s" s="257">
        <v>348</v>
      </c>
      <c r="P15" t="s" s="257">
        <v>348</v>
      </c>
      <c r="Q15" t="s" s="257">
        <v>249</v>
      </c>
    </row>
    <row r="16" ht="29.35" customHeight="1">
      <c r="B16" t="s" s="264">
        <v>437</v>
      </c>
      <c r="C16" t="s" s="410">
        <v>354</v>
      </c>
      <c r="D16" t="s" s="411">
        <v>162</v>
      </c>
      <c r="E16" s="260">
        <v>500</v>
      </c>
      <c r="F16" t="s" s="411">
        <v>347</v>
      </c>
      <c r="G16" t="s" s="411">
        <v>438</v>
      </c>
      <c r="H16" s="261">
        <v>0</v>
      </c>
      <c r="I16" s="261">
        <v>0</v>
      </c>
      <c r="J16" s="261">
        <v>0</v>
      </c>
      <c r="K16" s="260">
        <v>500</v>
      </c>
      <c r="L16" t="s" s="257">
        <v>12</v>
      </c>
      <c r="M16" t="s" s="257">
        <v>12</v>
      </c>
      <c r="N16" t="s" s="257">
        <v>12</v>
      </c>
      <c r="O16" t="s" s="257">
        <v>348</v>
      </c>
      <c r="P16" t="s" s="257">
        <v>348</v>
      </c>
      <c r="Q16" t="s" s="257">
        <v>249</v>
      </c>
    </row>
    <row r="17" ht="29.35" customHeight="1">
      <c r="B17" t="s" s="264">
        <v>439</v>
      </c>
      <c r="C17" t="s" s="410">
        <v>440</v>
      </c>
      <c r="D17" s="260">
        <v>300</v>
      </c>
      <c r="E17" s="260">
        <v>600</v>
      </c>
      <c r="F17" t="s" s="411">
        <v>441</v>
      </c>
      <c r="G17" t="s" s="411">
        <v>442</v>
      </c>
      <c r="H17" s="261"/>
      <c r="I17" s="261"/>
      <c r="J17" s="261"/>
      <c r="K17" s="260">
        <v>600</v>
      </c>
      <c r="L17" t="s" s="257">
        <v>13</v>
      </c>
      <c r="M17" t="s" s="257">
        <v>12</v>
      </c>
      <c r="N17" t="s" s="257">
        <v>13</v>
      </c>
      <c r="O17" t="s" s="257">
        <v>179</v>
      </c>
      <c r="P17" t="s" s="257">
        <v>179</v>
      </c>
      <c r="Q17" t="s" s="257">
        <v>13</v>
      </c>
    </row>
    <row r="18" ht="29.35" customHeight="1">
      <c r="B18" t="s" s="264">
        <v>443</v>
      </c>
      <c r="C18" s="286"/>
      <c r="D18" s="260">
        <v>300</v>
      </c>
      <c r="E18" s="267">
        <v>600</v>
      </c>
      <c r="F18" t="s" s="257">
        <v>441</v>
      </c>
      <c r="G18" s="287"/>
      <c r="H18" s="261">
        <v>0</v>
      </c>
      <c r="I18" s="261">
        <v>0</v>
      </c>
      <c r="J18" s="261">
        <v>0</v>
      </c>
      <c r="K18" s="267"/>
      <c r="L18" t="s" s="257">
        <v>13</v>
      </c>
      <c r="M18" t="s" s="257">
        <v>12</v>
      </c>
      <c r="N18" t="s" s="257">
        <v>13</v>
      </c>
      <c r="O18" t="s" s="257">
        <v>179</v>
      </c>
      <c r="P18" t="s" s="257">
        <v>179</v>
      </c>
      <c r="Q18" t="s" s="257">
        <v>13</v>
      </c>
    </row>
    <row r="19" ht="29.35" customHeight="1">
      <c r="B19" t="s" s="264">
        <v>444</v>
      </c>
      <c r="C19" t="s" s="410">
        <v>440</v>
      </c>
      <c r="D19" s="260">
        <v>300</v>
      </c>
      <c r="E19" s="260">
        <v>750</v>
      </c>
      <c r="F19" t="s" s="411">
        <v>441</v>
      </c>
      <c r="G19" t="s" s="411">
        <v>442</v>
      </c>
      <c r="H19" s="261"/>
      <c r="I19" s="261"/>
      <c r="J19" s="261"/>
      <c r="K19" s="260">
        <v>750</v>
      </c>
      <c r="L19" t="s" s="257">
        <v>13</v>
      </c>
      <c r="M19" t="s" s="257">
        <v>12</v>
      </c>
      <c r="N19" t="s" s="257">
        <v>13</v>
      </c>
      <c r="O19" t="s" s="257">
        <v>179</v>
      </c>
      <c r="P19" t="s" s="257">
        <v>179</v>
      </c>
      <c r="Q19" t="s" s="257">
        <v>13</v>
      </c>
    </row>
    <row r="20" ht="22.75" customHeight="1">
      <c r="B20" s="297"/>
      <c r="C20" s="286"/>
      <c r="D20" s="287"/>
      <c r="E20" s="267"/>
      <c r="F20" s="259"/>
      <c r="G20" s="287"/>
      <c r="H20" s="287"/>
      <c r="I20" s="287"/>
      <c r="J20" s="287"/>
      <c r="K20" s="267"/>
      <c r="L20" s="259"/>
      <c r="M20" s="259"/>
      <c r="N20" s="259"/>
      <c r="O20" s="259"/>
      <c r="P20" s="259"/>
      <c r="Q20" s="259"/>
    </row>
    <row r="21" ht="23.95" customHeight="1">
      <c r="B21" t="s" s="255">
        <v>30</v>
      </c>
      <c r="C21" s="268"/>
      <c r="D21" s="258"/>
      <c r="E21" s="258" cm="1">
        <f t="array" ref="E21">SUM(E4:E19)</f>
        <v>12294</v>
      </c>
      <c r="F21" s="259"/>
      <c r="G21" s="259"/>
      <c r="H21" s="260">
        <v>11930</v>
      </c>
      <c r="I21" s="260" cm="1">
        <f t="array" ref="I21">SUM($I$4:$I$9)</f>
        <v>2100</v>
      </c>
      <c r="J21" s="260" cm="1">
        <f t="array" ref="J21">SUM(J4:J15)</f>
        <v>8495</v>
      </c>
      <c r="K21" s="260" cm="1">
        <f t="array" ref="K21">SUM(K4:K19)</f>
        <v>6994</v>
      </c>
      <c r="L21" s="269"/>
      <c r="M21" s="269"/>
      <c r="N21" s="269"/>
      <c r="O21" s="269"/>
      <c r="P21" s="257"/>
      <c r="Q21" s="257"/>
    </row>
    <row r="22" ht="23.95" customHeight="1">
      <c r="B22" t="s" s="255">
        <v>110</v>
      </c>
      <c r="C22" s="268"/>
      <c r="D22" s="267"/>
      <c r="E22" s="258"/>
      <c r="F22" s="259"/>
      <c r="G22" s="259"/>
      <c r="H22" s="260">
        <v>21387.76</v>
      </c>
      <c r="I22" s="260">
        <v>28167.74</v>
      </c>
      <c r="J22" s="260">
        <v>32682.78</v>
      </c>
      <c r="K22" s="260" cm="1">
        <f t="array" ref="K22">K21+D23+K29+K41+M44</f>
        <v>13733.12</v>
      </c>
      <c r="L22" s="269"/>
      <c r="M22" s="269"/>
      <c r="N22" s="269"/>
      <c r="O22" s="269"/>
      <c r="P22" s="257"/>
      <c r="Q22" s="257"/>
    </row>
    <row r="23" ht="23.95" customHeight="1">
      <c r="B23" t="s" s="255">
        <v>111</v>
      </c>
      <c r="C23" s="268"/>
      <c r="D23" s="258" cm="1">
        <f t="array" ref="D23">D18+D17+D19</f>
        <v>900</v>
      </c>
      <c r="E23" s="260" cm="1">
        <f t="array" ref="E23">'FEBRERO 2026'!E31+'MARZO 2026'!J37+K22</f>
        <v>151817.84</v>
      </c>
      <c r="F23" s="259"/>
      <c r="G23" s="259"/>
      <c r="H23" s="270"/>
      <c r="I23" s="270"/>
      <c r="J23" s="270"/>
      <c r="K23" s="270"/>
      <c r="L23" s="269"/>
      <c r="M23" s="269"/>
      <c r="N23" s="269"/>
      <c r="O23" s="269"/>
      <c r="P23" s="257"/>
      <c r="Q23" s="257"/>
    </row>
    <row r="24" ht="37.95" customHeight="1">
      <c r="B24" t="s" s="271">
        <v>23</v>
      </c>
      <c r="C24" t="s" s="272">
        <v>36</v>
      </c>
      <c r="D24" s="27"/>
      <c r="E24" s="27"/>
      <c r="F24" s="27"/>
      <c r="G24" s="27"/>
      <c r="H24" s="273"/>
      <c r="I24" s="273"/>
      <c r="J24" s="273"/>
      <c r="K24" s="273"/>
      <c r="L24" s="273"/>
      <c r="M24" s="273"/>
      <c r="N24" s="273"/>
      <c r="O24" s="273"/>
      <c r="P24" s="274"/>
      <c r="Q24" s="274"/>
    </row>
    <row r="25" ht="37.95" customHeight="1">
      <c r="B25" t="s" s="275">
        <v>35</v>
      </c>
      <c r="C25" s="276"/>
      <c r="D25" t="s" s="277">
        <v>38</v>
      </c>
      <c r="E25" s="278">
        <v>171.82</v>
      </c>
      <c r="F25" s="278"/>
      <c r="G25" s="278"/>
      <c r="H25" s="279">
        <v>1202.74</v>
      </c>
      <c r="I25" s="279" cm="1">
        <f t="array" ref="I25">E25*W78</f>
        <v>171.82</v>
      </c>
      <c r="J25" s="279">
        <v>1202.74</v>
      </c>
      <c r="K25" s="279" cm="1">
        <f t="array" ref="K25">E25*Y78</f>
        <v>0</v>
      </c>
      <c r="L25" s="259"/>
      <c r="M25" s="259"/>
      <c r="N25" s="259"/>
      <c r="O25" s="259"/>
      <c r="P25" t="s" s="257">
        <v>23</v>
      </c>
      <c r="Q25" s="257"/>
    </row>
    <row r="26" ht="37.95" customHeight="1">
      <c r="B26" t="s" s="275">
        <v>10</v>
      </c>
      <c r="C26" s="276"/>
      <c r="D26" t="s" s="277">
        <v>38</v>
      </c>
      <c r="E26" s="278">
        <v>171.82</v>
      </c>
      <c r="F26" s="278"/>
      <c r="G26" s="278"/>
      <c r="H26" s="279">
        <v>1890</v>
      </c>
      <c r="I26" s="279">
        <v>1890</v>
      </c>
      <c r="J26" s="279">
        <v>1890.02</v>
      </c>
      <c r="K26" s="279" cm="1">
        <f t="array" ref="K26">E26*Y80</f>
        <v>859.1</v>
      </c>
      <c r="L26" s="259"/>
      <c r="M26" s="259"/>
      <c r="N26" s="259"/>
      <c r="O26" t="s" s="257">
        <v>14</v>
      </c>
      <c r="P26" t="s" s="257">
        <v>23</v>
      </c>
      <c r="Q26" s="257"/>
    </row>
    <row r="27" ht="37.95" customHeight="1">
      <c r="B27" t="s" s="275">
        <v>37</v>
      </c>
      <c r="C27" s="276"/>
      <c r="D27" t="s" s="277">
        <v>38</v>
      </c>
      <c r="E27" s="278">
        <v>171.82</v>
      </c>
      <c r="F27" s="278"/>
      <c r="G27" s="278"/>
      <c r="H27" s="279">
        <v>1890.02</v>
      </c>
      <c r="I27" s="279" cm="1">
        <f t="array" ref="I27">E27*W92</f>
        <v>1030.92</v>
      </c>
      <c r="J27" s="279">
        <v>1890.02</v>
      </c>
      <c r="K27" s="279" cm="1">
        <f t="array" ref="K27">E27*Y92</f>
        <v>1546.38</v>
      </c>
      <c r="L27" s="259"/>
      <c r="M27" s="259"/>
      <c r="N27" s="259"/>
      <c r="O27" s="259"/>
      <c r="P27" t="s" s="257">
        <v>23</v>
      </c>
      <c r="Q27" s="257"/>
    </row>
    <row r="28" ht="37.95" customHeight="1">
      <c r="B28" t="s" s="275">
        <v>445</v>
      </c>
      <c r="C28" s="276"/>
      <c r="D28" t="s" s="277">
        <v>38</v>
      </c>
      <c r="E28" s="278">
        <v>171.82</v>
      </c>
      <c r="F28" s="278"/>
      <c r="G28" s="278"/>
      <c r="H28" t="s" s="412">
        <v>25</v>
      </c>
      <c r="I28" t="s" s="412">
        <v>25</v>
      </c>
      <c r="J28" t="s" s="412">
        <v>25</v>
      </c>
      <c r="K28" s="279" cm="1">
        <f t="array" ref="K28">E28*Y129</f>
        <v>343.64</v>
      </c>
      <c r="L28" s="259"/>
      <c r="M28" s="259"/>
      <c r="N28" s="259"/>
      <c r="O28" s="259"/>
      <c r="P28" s="257"/>
      <c r="Q28" s="257"/>
    </row>
    <row r="29" ht="23.95" customHeight="1">
      <c r="B29" t="s" s="275">
        <v>114</v>
      </c>
      <c r="C29" s="280"/>
      <c r="D29" s="27"/>
      <c r="E29" s="27"/>
      <c r="F29" s="27"/>
      <c r="G29" s="281"/>
      <c r="H29" s="282">
        <v>4982.76</v>
      </c>
      <c r="I29" s="283">
        <v>3092.74</v>
      </c>
      <c r="J29" s="283">
        <v>4982.78</v>
      </c>
      <c r="K29" s="283" cm="1">
        <f t="array" ref="K29">K25+K26+K27+K28</f>
        <v>2749.12</v>
      </c>
      <c r="L29" s="259"/>
      <c r="M29" s="259"/>
      <c r="N29" s="259"/>
      <c r="O29" s="259"/>
      <c r="P29" t="s" s="257">
        <v>23</v>
      </c>
      <c r="Q29" s="257"/>
    </row>
    <row r="30" ht="23.95" customHeight="1">
      <c r="B30" t="s" s="271">
        <v>33</v>
      </c>
      <c r="C30" t="s" s="272">
        <v>273</v>
      </c>
      <c r="D30" s="27"/>
      <c r="E30" s="27"/>
      <c r="F30" s="27"/>
      <c r="G30" s="27"/>
      <c r="H30" s="27"/>
      <c r="I30" s="27"/>
      <c r="J30" s="273"/>
      <c r="K30" s="273"/>
      <c r="L30" s="284"/>
      <c r="M30" s="284"/>
      <c r="N30" s="284"/>
      <c r="O30" t="s" s="274">
        <v>14</v>
      </c>
      <c r="P30" t="s" s="274">
        <v>34</v>
      </c>
      <c r="Q30" s="274"/>
    </row>
    <row r="31" ht="23.95" customHeight="1">
      <c r="B31" t="s" s="255">
        <v>32</v>
      </c>
      <c r="C31" t="s" s="256">
        <v>372</v>
      </c>
      <c r="D31" t="s" s="257">
        <v>162</v>
      </c>
      <c r="E31" s="258">
        <v>75</v>
      </c>
      <c r="F31" t="s" s="257">
        <v>188</v>
      </c>
      <c r="G31" t="s" s="257">
        <v>373</v>
      </c>
      <c r="H31" s="282">
        <v>500</v>
      </c>
      <c r="I31" s="261">
        <v>0</v>
      </c>
      <c r="J31" s="283">
        <v>500</v>
      </c>
      <c r="K31" s="283"/>
      <c r="L31" s="259"/>
      <c r="M31" s="259"/>
      <c r="N31" s="259"/>
      <c r="O31" t="s" s="257">
        <v>15</v>
      </c>
      <c r="P31" t="s" s="257">
        <v>34</v>
      </c>
      <c r="Q31" s="257"/>
    </row>
    <row r="32" ht="39.95" customHeight="1">
      <c r="B32" t="s" s="285">
        <v>46</v>
      </c>
      <c r="C32" s="286"/>
      <c r="D32" t="s" s="257">
        <v>162</v>
      </c>
      <c r="E32" s="267">
        <v>75</v>
      </c>
      <c r="F32" t="s" s="266">
        <v>33</v>
      </c>
      <c r="G32" s="287"/>
      <c r="H32" s="282">
        <v>675</v>
      </c>
      <c r="I32" s="283">
        <v>1200</v>
      </c>
      <c r="J32" s="283">
        <v>225</v>
      </c>
      <c r="K32" s="283" cm="1">
        <f t="array" ref="K32">E32*Y109</f>
        <v>750</v>
      </c>
      <c r="L32" s="287"/>
      <c r="M32" s="287"/>
      <c r="N32" s="287"/>
      <c r="O32" t="s" s="266">
        <v>15</v>
      </c>
      <c r="P32" t="s" s="266">
        <v>34</v>
      </c>
      <c r="Q32" s="266"/>
    </row>
    <row r="33" ht="23.95" customHeight="1">
      <c r="B33" t="s" s="285">
        <v>191</v>
      </c>
      <c r="C33" t="s" s="265">
        <v>192</v>
      </c>
      <c r="D33" t="s" s="257">
        <v>162</v>
      </c>
      <c r="E33" s="258">
        <v>75</v>
      </c>
      <c r="F33" t="s" s="266">
        <v>33</v>
      </c>
      <c r="G33" s="287"/>
      <c r="H33" s="282">
        <v>450</v>
      </c>
      <c r="I33" s="283">
        <v>825</v>
      </c>
      <c r="J33" s="283">
        <v>750</v>
      </c>
      <c r="K33" s="283" cm="1">
        <f t="array" ref="K33">E33*Y110</f>
        <v>525</v>
      </c>
      <c r="L33" s="287"/>
      <c r="M33" s="287"/>
      <c r="N33" s="287"/>
      <c r="O33" s="287"/>
      <c r="P33" s="266"/>
      <c r="Q33" s="266"/>
    </row>
    <row r="34" ht="23.95" customHeight="1">
      <c r="B34" t="s" s="264">
        <v>48</v>
      </c>
      <c r="C34" t="s" s="256">
        <v>194</v>
      </c>
      <c r="D34" t="s" s="257">
        <v>162</v>
      </c>
      <c r="E34" s="258">
        <v>75</v>
      </c>
      <c r="F34" t="s" s="266">
        <v>33</v>
      </c>
      <c r="G34" s="259"/>
      <c r="H34" s="282">
        <v>375</v>
      </c>
      <c r="I34" s="283">
        <v>375</v>
      </c>
      <c r="J34" s="283">
        <v>300</v>
      </c>
      <c r="K34" s="283" cm="1">
        <f t="array" ref="K34">E34*Y102</f>
        <v>150</v>
      </c>
      <c r="L34" s="259"/>
      <c r="M34" s="259"/>
      <c r="N34" s="259"/>
      <c r="O34" s="259"/>
      <c r="P34" s="257"/>
      <c r="Q34" s="257"/>
    </row>
    <row r="35" ht="23.95" customHeight="1">
      <c r="B35" t="s" s="264">
        <v>49</v>
      </c>
      <c r="C35" t="s" s="256">
        <v>194</v>
      </c>
      <c r="D35" t="s" s="257">
        <v>162</v>
      </c>
      <c r="E35" s="258">
        <v>75</v>
      </c>
      <c r="F35" t="s" s="266">
        <v>33</v>
      </c>
      <c r="G35" s="259"/>
      <c r="H35" s="282">
        <v>300</v>
      </c>
      <c r="I35" s="283">
        <v>375</v>
      </c>
      <c r="J35" s="283">
        <v>300</v>
      </c>
      <c r="K35" s="283" cm="1">
        <f t="array" ref="K35">E35*Y103</f>
        <v>150</v>
      </c>
      <c r="L35" s="259"/>
      <c r="M35" s="259"/>
      <c r="N35" s="259"/>
      <c r="O35" t="s" s="257">
        <v>15</v>
      </c>
      <c r="P35" t="s" s="257">
        <v>34</v>
      </c>
      <c r="Q35" s="257"/>
    </row>
    <row r="36" ht="23.95" customHeight="1">
      <c r="B36" t="s" s="264">
        <v>50</v>
      </c>
      <c r="C36" t="s" s="256">
        <v>195</v>
      </c>
      <c r="D36" t="s" s="257">
        <v>162</v>
      </c>
      <c r="E36" s="258">
        <v>90</v>
      </c>
      <c r="F36" t="s" s="266">
        <v>33</v>
      </c>
      <c r="G36" s="258"/>
      <c r="H36" s="261">
        <v>0</v>
      </c>
      <c r="I36" s="283">
        <v>270</v>
      </c>
      <c r="J36" s="283">
        <v>1080</v>
      </c>
      <c r="K36" s="283" cm="1">
        <f t="array" ref="K36">E36*Y104</f>
        <v>540</v>
      </c>
      <c r="L36" s="259"/>
      <c r="M36" s="259"/>
      <c r="N36" s="259"/>
      <c r="O36" t="s" s="257">
        <v>15</v>
      </c>
      <c r="P36" t="s" s="257">
        <v>34</v>
      </c>
      <c r="Q36" s="257"/>
    </row>
    <row r="37" ht="23.95" customHeight="1">
      <c r="B37" t="s" s="264">
        <v>51</v>
      </c>
      <c r="C37" t="s" s="256">
        <v>195</v>
      </c>
      <c r="D37" t="s" s="257">
        <v>162</v>
      </c>
      <c r="E37" s="258">
        <v>75</v>
      </c>
      <c r="F37" t="s" s="266">
        <v>33</v>
      </c>
      <c r="G37" s="259"/>
      <c r="H37" s="261">
        <v>0</v>
      </c>
      <c r="I37" s="283">
        <v>0</v>
      </c>
      <c r="J37" s="283">
        <v>1080</v>
      </c>
      <c r="K37" s="283" cm="1">
        <f t="array" ref="K37">E37*Y105</f>
        <v>150</v>
      </c>
      <c r="L37" s="259"/>
      <c r="M37" s="259"/>
      <c r="N37" s="259"/>
      <c r="O37" t="s" s="257">
        <v>15</v>
      </c>
      <c r="P37" t="s" s="257">
        <v>34</v>
      </c>
      <c r="Q37" s="257"/>
    </row>
    <row r="38" ht="23.95" customHeight="1">
      <c r="B38" t="s" s="264">
        <v>52</v>
      </c>
      <c r="C38" t="s" s="256">
        <v>195</v>
      </c>
      <c r="D38" t="s" s="257">
        <v>162</v>
      </c>
      <c r="E38" s="258">
        <v>90</v>
      </c>
      <c r="F38" t="s" s="266">
        <v>33</v>
      </c>
      <c r="G38" s="259"/>
      <c r="H38" s="261">
        <v>0</v>
      </c>
      <c r="I38" s="283">
        <v>270</v>
      </c>
      <c r="J38" s="283">
        <v>0</v>
      </c>
      <c r="K38" s="283" cm="1">
        <f t="array" ref="K38">E38*Y106</f>
        <v>270</v>
      </c>
      <c r="L38" s="259"/>
      <c r="M38" s="259"/>
      <c r="N38" s="259"/>
      <c r="O38" t="s" s="257">
        <v>15</v>
      </c>
      <c r="P38" t="s" s="257">
        <v>34</v>
      </c>
      <c r="Q38" s="257"/>
    </row>
    <row r="39" ht="21.5" customHeight="1">
      <c r="B39" t="s" s="264">
        <v>115</v>
      </c>
      <c r="C39" t="s" s="256">
        <v>356</v>
      </c>
      <c r="D39" t="s" s="257">
        <v>196</v>
      </c>
      <c r="E39" s="258">
        <v>75</v>
      </c>
      <c r="F39" t="s" s="266">
        <v>33</v>
      </c>
      <c r="G39" t="s" s="257">
        <v>253</v>
      </c>
      <c r="H39" s="282">
        <v>300</v>
      </c>
      <c r="I39" s="283">
        <v>450</v>
      </c>
      <c r="J39" s="283">
        <v>600</v>
      </c>
      <c r="K39" s="283"/>
      <c r="L39" s="259"/>
      <c r="M39" s="259"/>
      <c r="N39" s="259"/>
      <c r="O39" t="s" s="257">
        <v>15</v>
      </c>
      <c r="P39" t="s" s="257">
        <v>34</v>
      </c>
      <c r="Q39" s="257"/>
    </row>
    <row r="40" ht="23.95" customHeight="1">
      <c r="B40" t="s" s="264">
        <v>446</v>
      </c>
      <c r="C40" t="s" s="256">
        <v>447</v>
      </c>
      <c r="D40" t="s" s="257">
        <v>25</v>
      </c>
      <c r="E40" s="258">
        <v>175</v>
      </c>
      <c r="F40" t="s" s="266">
        <v>252</v>
      </c>
      <c r="G40" t="s" s="257">
        <v>447</v>
      </c>
      <c r="H40" s="261">
        <v>0</v>
      </c>
      <c r="I40" s="261">
        <v>0</v>
      </c>
      <c r="J40" s="261">
        <v>0</v>
      </c>
      <c r="K40" s="283">
        <v>175</v>
      </c>
      <c r="L40" s="259"/>
      <c r="M40" s="259"/>
      <c r="N40" s="259"/>
      <c r="O40" s="259"/>
      <c r="P40" s="257"/>
      <c r="Q40" s="257"/>
    </row>
    <row r="41" ht="23.95" customHeight="1">
      <c r="B41" t="s" s="264">
        <v>116</v>
      </c>
      <c r="C41" s="288"/>
      <c r="D41" s="27"/>
      <c r="E41" s="27"/>
      <c r="F41" s="27"/>
      <c r="G41" s="289"/>
      <c r="H41" s="282">
        <v>2975</v>
      </c>
      <c r="I41" s="282">
        <v>4440</v>
      </c>
      <c r="J41" s="282">
        <v>6310</v>
      </c>
      <c r="K41" s="282" cm="1">
        <f t="array" ref="K41">SUM(K31:K40)</f>
        <v>2710</v>
      </c>
      <c r="L41" s="259"/>
      <c r="M41" s="259"/>
      <c r="N41" s="259"/>
      <c r="O41" s="259"/>
      <c r="P41" s="257"/>
      <c r="Q41" s="257"/>
    </row>
    <row r="42" ht="37.65" customHeight="1">
      <c r="B42" t="s" s="413">
        <v>448</v>
      </c>
      <c r="C42" t="s" s="414">
        <v>449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9.1" customHeight="1">
      <c r="B43" t="s" s="264">
        <v>450</v>
      </c>
      <c r="C43" t="s" s="265">
        <v>451</v>
      </c>
      <c r="D43" t="s" s="266">
        <v>452</v>
      </c>
      <c r="E43" s="27"/>
      <c r="F43" s="27"/>
      <c r="G43" t="s" s="266">
        <v>453</v>
      </c>
      <c r="H43" t="s" s="266">
        <v>454</v>
      </c>
      <c r="I43" s="415">
        <v>46023</v>
      </c>
      <c r="J43" s="415">
        <v>46054</v>
      </c>
      <c r="K43" s="415">
        <v>46082</v>
      </c>
      <c r="L43" s="415">
        <v>46113</v>
      </c>
      <c r="M43" t="s" s="266">
        <v>455</v>
      </c>
      <c r="N43" t="s" s="266">
        <v>456</v>
      </c>
      <c r="O43" t="s" s="266">
        <v>457</v>
      </c>
      <c r="P43" s="266"/>
      <c r="Q43" s="266"/>
    </row>
    <row r="44" ht="29.1" customHeight="1">
      <c r="B44" t="s" s="264">
        <v>368</v>
      </c>
      <c r="C44" s="416">
        <v>52</v>
      </c>
      <c r="D44" t="s" s="266">
        <v>458</v>
      </c>
      <c r="E44" s="27"/>
      <c r="F44" s="27"/>
      <c r="G44" t="s" s="266">
        <v>459</v>
      </c>
      <c r="H44" t="s" s="266">
        <v>460</v>
      </c>
      <c r="I44" s="261">
        <v>0</v>
      </c>
      <c r="J44" s="261">
        <v>0</v>
      </c>
      <c r="K44" s="261">
        <v>0</v>
      </c>
      <c r="L44" s="283">
        <v>1100</v>
      </c>
      <c r="M44" s="270" cm="1">
        <f t="array" ref="M44">900*20%+200</f>
        <v>380</v>
      </c>
      <c r="N44" s="270" cm="1">
        <f t="array" ref="N44">720/2</f>
        <v>360</v>
      </c>
      <c r="O44" s="270" cm="1">
        <f t="array" ref="O44">720/2</f>
        <v>360</v>
      </c>
      <c r="P44" s="266"/>
      <c r="Q44" s="266"/>
    </row>
    <row r="45" ht="29.1" customHeight="1">
      <c r="B45" s="417"/>
      <c r="C45" s="286"/>
      <c r="D45" s="287"/>
      <c r="E45" s="27"/>
      <c r="F45" s="27"/>
      <c r="G45" s="287"/>
      <c r="H45" s="267"/>
      <c r="I45" s="267"/>
      <c r="J45" s="267"/>
      <c r="K45" s="267"/>
      <c r="L45" s="270"/>
      <c r="M45" s="270"/>
      <c r="N45" s="270"/>
      <c r="O45" s="270"/>
      <c r="P45" s="266"/>
      <c r="Q45" s="266"/>
    </row>
    <row r="46" ht="29.1" customHeight="1">
      <c r="B46" s="417"/>
      <c r="C46" s="286"/>
      <c r="D46" s="287"/>
      <c r="E46" s="27"/>
      <c r="F46" s="27"/>
      <c r="G46" s="287"/>
      <c r="H46" s="267"/>
      <c r="I46" s="267"/>
      <c r="J46" s="267"/>
      <c r="K46" s="267"/>
      <c r="L46" s="270"/>
      <c r="M46" s="270"/>
      <c r="N46" s="270"/>
      <c r="O46" s="270"/>
      <c r="P46" s="266"/>
      <c r="Q46" s="266"/>
    </row>
    <row r="47" ht="29.1" customHeight="1">
      <c r="B47" s="417"/>
      <c r="C47" s="286"/>
      <c r="D47" s="287"/>
      <c r="E47" s="27"/>
      <c r="F47" s="27"/>
      <c r="G47" s="287"/>
      <c r="H47" s="267"/>
      <c r="I47" s="267"/>
      <c r="J47" s="267"/>
      <c r="K47" s="267"/>
      <c r="L47" s="270"/>
      <c r="M47" s="270"/>
      <c r="N47" s="270"/>
      <c r="O47" s="270"/>
      <c r="P47" s="266"/>
      <c r="Q47" s="266"/>
    </row>
    <row r="48" ht="29.1" customHeight="1">
      <c r="B48" s="417"/>
      <c r="C48" s="286"/>
      <c r="D48" s="287"/>
      <c r="E48" s="27"/>
      <c r="F48" s="27"/>
      <c r="G48" s="287"/>
      <c r="H48" s="267"/>
      <c r="I48" s="267"/>
      <c r="J48" s="267"/>
      <c r="K48" s="267"/>
      <c r="L48" s="270"/>
      <c r="M48" s="270"/>
      <c r="N48" s="270"/>
      <c r="O48" s="270"/>
      <c r="P48" s="266"/>
      <c r="Q48" s="266"/>
    </row>
    <row r="49" ht="29.1" customHeight="1">
      <c r="B49" t="s" s="271">
        <v>186</v>
      </c>
      <c r="C49" s="290"/>
      <c r="D49" s="291"/>
      <c r="E49" s="291"/>
      <c r="F49" s="273"/>
      <c r="G49" s="273"/>
      <c r="H49" s="291"/>
      <c r="I49" s="291"/>
      <c r="J49" s="291"/>
      <c r="K49" s="291"/>
      <c r="L49" s="284"/>
      <c r="M49" s="284"/>
      <c r="N49" s="284"/>
      <c r="O49" s="284"/>
      <c r="P49" s="274"/>
      <c r="Q49" s="274"/>
    </row>
    <row r="50" ht="29.35" customHeight="1">
      <c r="B50" t="s" s="418">
        <v>27</v>
      </c>
      <c r="C50" t="s" s="419">
        <v>175</v>
      </c>
      <c r="D50" t="s" s="420">
        <v>162</v>
      </c>
      <c r="E50" s="421">
        <v>995</v>
      </c>
      <c r="F50" t="s" s="420">
        <v>11</v>
      </c>
      <c r="G50" t="s" s="420">
        <v>232</v>
      </c>
      <c r="H50" s="421">
        <v>995</v>
      </c>
      <c r="I50" s="421">
        <v>0</v>
      </c>
      <c r="J50" s="421">
        <v>0</v>
      </c>
      <c r="K50" s="421"/>
      <c r="L50" t="s" s="293">
        <v>12</v>
      </c>
      <c r="M50" t="s" s="293">
        <v>12</v>
      </c>
      <c r="N50" t="s" s="293">
        <v>12</v>
      </c>
      <c r="O50" t="s" s="293">
        <v>14</v>
      </c>
      <c r="P50" t="s" s="293">
        <v>15</v>
      </c>
      <c r="Q50" t="s" s="293">
        <v>13</v>
      </c>
    </row>
    <row r="51" ht="29.35" customHeight="1">
      <c r="B51" t="s" s="418">
        <v>268</v>
      </c>
      <c r="C51" t="s" s="419">
        <v>181</v>
      </c>
      <c r="D51" t="s" s="420">
        <v>162</v>
      </c>
      <c r="E51" s="421">
        <v>1200</v>
      </c>
      <c r="F51" t="s" s="420">
        <v>269</v>
      </c>
      <c r="G51" t="s" s="420">
        <v>234</v>
      </c>
      <c r="H51" s="421">
        <v>0</v>
      </c>
      <c r="I51" s="421">
        <v>1200</v>
      </c>
      <c r="J51" s="421">
        <v>0</v>
      </c>
      <c r="K51" s="421"/>
      <c r="L51" t="s" s="293">
        <v>12</v>
      </c>
      <c r="M51" t="s" s="293">
        <v>12</v>
      </c>
      <c r="N51" t="s" s="293">
        <v>12</v>
      </c>
      <c r="O51" t="s" s="293">
        <v>348</v>
      </c>
      <c r="P51" t="s" s="293">
        <v>348</v>
      </c>
      <c r="Q51" t="s" s="293">
        <v>249</v>
      </c>
    </row>
    <row r="52" ht="23.95" customHeight="1">
      <c r="B52" t="s" s="418">
        <v>47</v>
      </c>
      <c r="C52" t="s" s="419">
        <v>193</v>
      </c>
      <c r="D52" t="s" s="420">
        <v>162</v>
      </c>
      <c r="E52" s="421">
        <v>75</v>
      </c>
      <c r="F52" t="s" s="420">
        <v>33</v>
      </c>
      <c r="G52" s="422"/>
      <c r="H52" s="421">
        <v>0</v>
      </c>
      <c r="I52" s="421">
        <v>150</v>
      </c>
      <c r="J52" s="421"/>
      <c r="K52" s="421"/>
      <c r="L52" s="294"/>
      <c r="M52" s="294"/>
      <c r="N52" s="294"/>
      <c r="O52" t="s" s="293">
        <v>15</v>
      </c>
      <c r="P52" t="s" s="293">
        <v>34</v>
      </c>
      <c r="Q52" s="293"/>
    </row>
    <row r="53" ht="29.35" customHeight="1">
      <c r="B53" t="s" s="418">
        <v>18</v>
      </c>
      <c r="C53" t="s" s="419">
        <v>166</v>
      </c>
      <c r="D53" t="s" s="420">
        <v>162</v>
      </c>
      <c r="E53" s="421">
        <v>945</v>
      </c>
      <c r="F53" t="s" s="420">
        <v>11</v>
      </c>
      <c r="G53" s="422"/>
      <c r="H53" s="421">
        <v>945</v>
      </c>
      <c r="I53" s="421">
        <v>0</v>
      </c>
      <c r="J53" s="421">
        <v>0</v>
      </c>
      <c r="K53" s="421"/>
      <c r="L53" t="s" s="293">
        <v>12</v>
      </c>
      <c r="M53" t="s" s="293">
        <v>12</v>
      </c>
      <c r="N53" t="s" s="293">
        <v>12</v>
      </c>
      <c r="O53" t="s" s="293">
        <v>14</v>
      </c>
      <c r="P53" t="s" s="293">
        <v>15</v>
      </c>
      <c r="Q53" t="s" s="293">
        <v>13</v>
      </c>
    </row>
    <row r="54" ht="29.35" customHeight="1">
      <c r="B54" t="s" s="418">
        <v>154</v>
      </c>
      <c r="C54" t="s" s="419">
        <v>183</v>
      </c>
      <c r="D54" t="s" s="420">
        <v>162</v>
      </c>
      <c r="E54" s="421">
        <v>995</v>
      </c>
      <c r="F54" t="s" s="420">
        <v>347</v>
      </c>
      <c r="G54" t="s" s="420">
        <v>236</v>
      </c>
      <c r="H54" s="421">
        <v>995</v>
      </c>
      <c r="I54" s="421">
        <v>995</v>
      </c>
      <c r="J54" s="421">
        <v>0</v>
      </c>
      <c r="K54" s="421"/>
      <c r="L54" t="s" s="293">
        <v>12</v>
      </c>
      <c r="M54" t="s" s="293">
        <v>12</v>
      </c>
      <c r="N54" t="s" s="293">
        <v>12</v>
      </c>
      <c r="O54" t="s" s="293">
        <v>14</v>
      </c>
      <c r="P54" t="s" s="293">
        <v>15</v>
      </c>
      <c r="Q54" t="s" s="293">
        <v>13</v>
      </c>
    </row>
    <row r="55" ht="37.95" customHeight="1">
      <c r="B55" t="s" s="418">
        <v>24</v>
      </c>
      <c r="C55" t="s" s="419">
        <v>172</v>
      </c>
      <c r="D55" t="s" s="420">
        <v>173</v>
      </c>
      <c r="E55" t="s" s="420">
        <v>25</v>
      </c>
      <c r="F55" t="s" s="420">
        <v>26</v>
      </c>
      <c r="G55" s="422"/>
      <c r="H55" s="421">
        <v>0</v>
      </c>
      <c r="I55" s="421">
        <v>0</v>
      </c>
      <c r="J55" s="421">
        <v>0</v>
      </c>
      <c r="K55" s="421"/>
      <c r="L55" t="s" s="293">
        <v>13</v>
      </c>
      <c r="M55" t="s" s="293">
        <v>12</v>
      </c>
      <c r="N55" t="s" s="293">
        <v>13</v>
      </c>
      <c r="O55" t="s" s="293">
        <v>15</v>
      </c>
      <c r="P55" t="s" s="293">
        <v>15</v>
      </c>
      <c r="Q55" t="s" s="293">
        <v>13</v>
      </c>
    </row>
    <row r="56" ht="29.35" customHeight="1">
      <c r="B56" t="s" s="418">
        <v>259</v>
      </c>
      <c r="C56" t="s" s="419">
        <v>260</v>
      </c>
      <c r="D56" t="s" s="420">
        <v>162</v>
      </c>
      <c r="E56" s="421">
        <v>250</v>
      </c>
      <c r="F56" t="s" s="420">
        <v>188</v>
      </c>
      <c r="G56" t="s" s="420">
        <v>261</v>
      </c>
      <c r="H56" s="421">
        <v>0</v>
      </c>
      <c r="I56" s="421">
        <v>250</v>
      </c>
      <c r="J56" s="421">
        <v>0</v>
      </c>
      <c r="K56" s="421"/>
      <c r="L56" t="s" s="293">
        <v>12</v>
      </c>
      <c r="M56" t="s" s="293">
        <v>12</v>
      </c>
      <c r="N56" t="s" s="293">
        <v>12</v>
      </c>
      <c r="O56" t="s" s="293">
        <v>348</v>
      </c>
      <c r="P56" t="s" s="293">
        <v>348</v>
      </c>
      <c r="Q56" t="s" s="293">
        <v>249</v>
      </c>
    </row>
    <row r="57" ht="23.95" customHeight="1">
      <c r="B57" s="423"/>
      <c r="C57" s="424"/>
      <c r="D57" s="422"/>
      <c r="E57" s="421"/>
      <c r="F57" s="422"/>
      <c r="G57" s="422"/>
      <c r="H57" s="421"/>
      <c r="I57" s="421"/>
      <c r="J57" s="421"/>
      <c r="K57" s="421"/>
      <c r="L57" s="422"/>
      <c r="M57" s="422"/>
      <c r="N57" s="422"/>
      <c r="O57" s="422"/>
      <c r="P57" s="420"/>
      <c r="Q57" s="422"/>
    </row>
    <row r="58" ht="29.35" customHeight="1">
      <c r="B58" t="s" s="418">
        <v>19</v>
      </c>
      <c r="C58" t="s" s="419">
        <v>237</v>
      </c>
      <c r="D58" t="s" s="420">
        <v>162</v>
      </c>
      <c r="E58" s="421">
        <v>995</v>
      </c>
      <c r="F58" t="s" s="420">
        <v>11</v>
      </c>
      <c r="G58" t="s" s="420">
        <v>238</v>
      </c>
      <c r="H58" s="421">
        <v>0</v>
      </c>
      <c r="I58" s="421">
        <v>995</v>
      </c>
      <c r="J58" s="421">
        <v>0</v>
      </c>
      <c r="K58" s="421"/>
      <c r="L58" t="s" s="293">
        <v>12</v>
      </c>
      <c r="M58" t="s" s="293">
        <v>12</v>
      </c>
      <c r="N58" t="s" s="293">
        <v>12</v>
      </c>
      <c r="O58" t="s" s="293">
        <v>14</v>
      </c>
      <c r="P58" t="s" s="293">
        <v>15</v>
      </c>
      <c r="Q58" t="s" s="293">
        <v>13</v>
      </c>
    </row>
    <row r="59" ht="29.35" customHeight="1">
      <c r="B59" t="s" s="418">
        <v>239</v>
      </c>
      <c r="C59" t="s" s="419">
        <v>240</v>
      </c>
      <c r="D59" t="s" s="420">
        <v>162</v>
      </c>
      <c r="E59" s="421">
        <v>750</v>
      </c>
      <c r="F59" t="s" s="420">
        <v>6</v>
      </c>
      <c r="G59" t="s" s="420">
        <v>241</v>
      </c>
      <c r="H59" s="421">
        <v>0</v>
      </c>
      <c r="I59" s="421">
        <v>750</v>
      </c>
      <c r="J59" s="421">
        <v>0</v>
      </c>
      <c r="K59" s="421"/>
      <c r="L59" t="s" s="293">
        <v>13</v>
      </c>
      <c r="M59" t="s" s="293">
        <v>12</v>
      </c>
      <c r="N59" t="s" s="293">
        <v>13</v>
      </c>
      <c r="O59" t="s" s="293">
        <v>179</v>
      </c>
      <c r="P59" t="s" s="293">
        <v>179</v>
      </c>
      <c r="Q59" t="s" s="293">
        <v>13</v>
      </c>
    </row>
    <row r="60" ht="23.95" customHeight="1">
      <c r="B60" t="s" s="418">
        <v>45</v>
      </c>
      <c r="C60" t="s" s="419">
        <v>183</v>
      </c>
      <c r="D60" t="s" s="420">
        <v>162</v>
      </c>
      <c r="E60" s="421">
        <v>75</v>
      </c>
      <c r="F60" t="s" s="420">
        <v>33</v>
      </c>
      <c r="G60" s="422"/>
      <c r="H60" s="421">
        <v>0</v>
      </c>
      <c r="I60" s="421">
        <v>150</v>
      </c>
      <c r="J60" s="421">
        <v>675</v>
      </c>
      <c r="K60" s="421"/>
      <c r="L60" s="294"/>
      <c r="M60" s="294"/>
      <c r="N60" s="294"/>
      <c r="O60" s="294"/>
      <c r="P60" s="293"/>
      <c r="Q60" s="293"/>
    </row>
    <row r="61" ht="29.35" customHeight="1">
      <c r="B61" t="s" s="418">
        <v>242</v>
      </c>
      <c r="C61" t="s" s="419">
        <v>240</v>
      </c>
      <c r="D61" t="s" s="420">
        <v>162</v>
      </c>
      <c r="E61" s="421">
        <v>995</v>
      </c>
      <c r="F61" t="s" s="420">
        <v>243</v>
      </c>
      <c r="G61" t="s" s="420">
        <v>461</v>
      </c>
      <c r="H61" s="421">
        <v>0</v>
      </c>
      <c r="I61" s="421">
        <v>1200</v>
      </c>
      <c r="J61" s="421">
        <v>0</v>
      </c>
      <c r="K61" s="421"/>
      <c r="L61" t="s" s="420">
        <v>12</v>
      </c>
      <c r="M61" t="s" s="420">
        <v>12</v>
      </c>
      <c r="N61" t="s" s="420">
        <v>12</v>
      </c>
      <c r="O61" t="s" s="420">
        <v>348</v>
      </c>
      <c r="P61" t="s" s="420">
        <v>15</v>
      </c>
      <c r="Q61" t="s" s="420">
        <v>13</v>
      </c>
    </row>
    <row r="62" ht="29.35" customHeight="1">
      <c r="B62" t="s" s="418">
        <v>257</v>
      </c>
      <c r="C62" t="s" s="419">
        <v>246</v>
      </c>
      <c r="D62" t="s" s="420">
        <v>162</v>
      </c>
      <c r="E62" s="421">
        <v>1200</v>
      </c>
      <c r="F62" t="s" s="420">
        <v>252</v>
      </c>
      <c r="G62" t="s" s="420">
        <v>434</v>
      </c>
      <c r="H62" s="421">
        <v>0</v>
      </c>
      <c r="I62" s="421">
        <v>1200</v>
      </c>
      <c r="J62" s="421">
        <v>0</v>
      </c>
      <c r="K62" s="421"/>
      <c r="L62" t="s" s="420">
        <v>12</v>
      </c>
      <c r="M62" t="s" s="420">
        <v>12</v>
      </c>
      <c r="N62" t="s" s="420">
        <v>12</v>
      </c>
      <c r="O62" t="s" s="420">
        <v>348</v>
      </c>
      <c r="P62" t="s" s="420">
        <v>348</v>
      </c>
      <c r="Q62" t="s" s="420">
        <v>249</v>
      </c>
    </row>
    <row r="63" ht="29.35" customHeight="1">
      <c r="B63" t="s" s="418">
        <v>244</v>
      </c>
      <c r="C63" t="s" s="419">
        <v>246</v>
      </c>
      <c r="D63" t="s" s="420">
        <v>162</v>
      </c>
      <c r="E63" s="421">
        <v>995</v>
      </c>
      <c r="F63" t="s" s="420">
        <v>243</v>
      </c>
      <c r="G63" t="s" s="420">
        <v>434</v>
      </c>
      <c r="H63" s="421">
        <v>0</v>
      </c>
      <c r="I63" s="421">
        <v>1200</v>
      </c>
      <c r="J63" s="421">
        <v>0</v>
      </c>
      <c r="K63" s="421"/>
      <c r="L63" t="s" s="420">
        <v>12</v>
      </c>
      <c r="M63" t="s" s="420">
        <v>12</v>
      </c>
      <c r="N63" t="s" s="420">
        <v>12</v>
      </c>
      <c r="O63" t="s" s="420">
        <v>348</v>
      </c>
      <c r="P63" t="s" s="420">
        <v>15</v>
      </c>
      <c r="Q63" t="s" s="420">
        <v>13</v>
      </c>
    </row>
    <row r="64" ht="29.35" customHeight="1">
      <c r="B64" t="s" s="418">
        <v>360</v>
      </c>
      <c r="C64" t="s" s="419">
        <v>362</v>
      </c>
      <c r="D64" t="s" s="420">
        <v>162</v>
      </c>
      <c r="E64" s="421">
        <v>1350</v>
      </c>
      <c r="F64" t="s" s="420">
        <v>269</v>
      </c>
      <c r="G64" t="s" s="420">
        <v>462</v>
      </c>
      <c r="H64" s="421">
        <v>0</v>
      </c>
      <c r="I64" s="421">
        <v>0</v>
      </c>
      <c r="J64" s="421">
        <v>1350</v>
      </c>
      <c r="K64" s="421"/>
      <c r="L64" t="s" s="420">
        <v>12</v>
      </c>
      <c r="M64" t="s" s="420">
        <v>12</v>
      </c>
      <c r="N64" t="s" s="420">
        <v>12</v>
      </c>
      <c r="O64" t="s" s="420">
        <v>348</v>
      </c>
      <c r="P64" t="s" s="420">
        <v>348</v>
      </c>
      <c r="Q64" t="s" s="420">
        <v>249</v>
      </c>
    </row>
    <row r="65" ht="29.35" customHeight="1">
      <c r="B65" t="s" s="418">
        <v>359</v>
      </c>
      <c r="C65" t="s" s="419">
        <v>246</v>
      </c>
      <c r="D65" t="s" s="420">
        <v>162</v>
      </c>
      <c r="E65" s="421">
        <v>1200</v>
      </c>
      <c r="F65" t="s" s="420">
        <v>252</v>
      </c>
      <c r="G65" t="s" s="420">
        <v>434</v>
      </c>
      <c r="H65" s="421">
        <v>0</v>
      </c>
      <c r="I65" s="421">
        <v>0</v>
      </c>
      <c r="J65" s="421">
        <v>600</v>
      </c>
      <c r="K65" s="421"/>
      <c r="L65" t="s" s="420">
        <v>12</v>
      </c>
      <c r="M65" t="s" s="420">
        <v>12</v>
      </c>
      <c r="N65" t="s" s="420">
        <v>12</v>
      </c>
      <c r="O65" t="s" s="420">
        <v>348</v>
      </c>
      <c r="P65" t="s" s="420">
        <v>348</v>
      </c>
      <c r="Q65" t="s" s="420">
        <v>249</v>
      </c>
    </row>
    <row r="66" ht="29.35" customHeight="1">
      <c r="B66" t="s" s="418">
        <v>254</v>
      </c>
      <c r="C66" t="s" s="419">
        <v>246</v>
      </c>
      <c r="D66" t="s" s="420">
        <v>162</v>
      </c>
      <c r="E66" s="421">
        <v>600</v>
      </c>
      <c r="F66" t="s" s="420">
        <v>252</v>
      </c>
      <c r="G66" t="s" s="420">
        <v>434</v>
      </c>
      <c r="H66" s="421">
        <v>0</v>
      </c>
      <c r="I66" s="421">
        <v>600</v>
      </c>
      <c r="J66" s="421">
        <v>600</v>
      </c>
      <c r="K66" s="421"/>
      <c r="L66" t="s" s="420">
        <v>12</v>
      </c>
      <c r="M66" t="s" s="420">
        <v>12</v>
      </c>
      <c r="N66" t="s" s="420">
        <v>12</v>
      </c>
      <c r="O66" t="s" s="420">
        <v>348</v>
      </c>
      <c r="P66" t="s" s="420">
        <v>348</v>
      </c>
      <c r="Q66" t="s" s="420">
        <v>249</v>
      </c>
    </row>
    <row r="67" ht="29.35" customHeight="1">
      <c r="B67" t="s" s="418">
        <v>270</v>
      </c>
      <c r="C67" t="s" s="419">
        <v>271</v>
      </c>
      <c r="D67" t="s" s="420">
        <v>162</v>
      </c>
      <c r="E67" s="421">
        <v>1200</v>
      </c>
      <c r="F67" t="s" s="420">
        <v>243</v>
      </c>
      <c r="G67" t="s" s="420">
        <v>435</v>
      </c>
      <c r="H67" s="421">
        <v>0</v>
      </c>
      <c r="I67" s="421">
        <v>1200</v>
      </c>
      <c r="J67" s="421">
        <v>0</v>
      </c>
      <c r="K67" s="421"/>
      <c r="L67" t="s" s="420">
        <v>12</v>
      </c>
      <c r="M67" t="s" s="420">
        <v>12</v>
      </c>
      <c r="N67" t="s" s="420">
        <v>12</v>
      </c>
      <c r="O67" t="s" s="420">
        <v>348</v>
      </c>
      <c r="P67" t="s" s="420">
        <v>348</v>
      </c>
      <c r="Q67" t="s" s="420">
        <v>249</v>
      </c>
    </row>
    <row r="68" ht="29.35" customHeight="1">
      <c r="B68" t="s" s="418">
        <v>272</v>
      </c>
      <c r="C68" t="s" s="419">
        <v>271</v>
      </c>
      <c r="D68" t="s" s="420">
        <v>162</v>
      </c>
      <c r="E68" s="421">
        <v>1200</v>
      </c>
      <c r="F68" t="s" s="420">
        <v>243</v>
      </c>
      <c r="G68" t="s" s="420">
        <v>435</v>
      </c>
      <c r="H68" s="421">
        <v>0</v>
      </c>
      <c r="I68" s="421">
        <v>1200</v>
      </c>
      <c r="J68" s="421">
        <v>0</v>
      </c>
      <c r="K68" s="421"/>
      <c r="L68" t="s" s="420">
        <v>12</v>
      </c>
      <c r="M68" t="s" s="420">
        <v>12</v>
      </c>
      <c r="N68" t="s" s="420">
        <v>12</v>
      </c>
      <c r="O68" t="s" s="420">
        <v>348</v>
      </c>
      <c r="P68" t="s" s="420">
        <v>348</v>
      </c>
      <c r="Q68" t="s" s="420">
        <v>249</v>
      </c>
    </row>
    <row r="69" ht="29.35" customHeight="1">
      <c r="B69" t="s" s="418">
        <v>250</v>
      </c>
      <c r="C69" t="s" s="419">
        <v>253</v>
      </c>
      <c r="D69" t="s" s="420">
        <v>162</v>
      </c>
      <c r="E69" s="421">
        <v>1200</v>
      </c>
      <c r="F69" t="s" s="420">
        <v>252</v>
      </c>
      <c r="G69" t="s" s="420">
        <v>463</v>
      </c>
      <c r="H69" s="421">
        <v>0</v>
      </c>
      <c r="I69" s="421">
        <v>1200</v>
      </c>
      <c r="J69" s="421">
        <v>0</v>
      </c>
      <c r="K69" s="421"/>
      <c r="L69" t="s" s="420">
        <v>13</v>
      </c>
      <c r="M69" t="s" s="420">
        <v>12</v>
      </c>
      <c r="N69" t="s" s="420">
        <v>13</v>
      </c>
      <c r="O69" t="s" s="420">
        <v>179</v>
      </c>
      <c r="P69" t="s" s="420">
        <v>179</v>
      </c>
      <c r="Q69" t="s" s="420">
        <v>13</v>
      </c>
    </row>
    <row r="70" ht="29.35" customHeight="1">
      <c r="B70" t="s" s="418">
        <v>357</v>
      </c>
      <c r="C70" t="s" s="419">
        <v>253</v>
      </c>
      <c r="D70" t="s" s="420">
        <v>162</v>
      </c>
      <c r="E70" s="421">
        <v>1200</v>
      </c>
      <c r="F70" t="s" s="420">
        <v>269</v>
      </c>
      <c r="G70" t="s" s="420">
        <v>463</v>
      </c>
      <c r="H70" s="421">
        <v>0</v>
      </c>
      <c r="I70" s="421">
        <v>0</v>
      </c>
      <c r="J70" s="421">
        <v>1200</v>
      </c>
      <c r="K70" s="421"/>
      <c r="L70" t="s" s="420">
        <v>12</v>
      </c>
      <c r="M70" t="s" s="420">
        <v>12</v>
      </c>
      <c r="N70" t="s" s="420">
        <v>12</v>
      </c>
      <c r="O70" t="s" s="420">
        <v>348</v>
      </c>
      <c r="P70" t="s" s="420">
        <v>348</v>
      </c>
      <c r="Q70" t="s" s="420">
        <v>249</v>
      </c>
    </row>
    <row r="71" ht="29.35" customHeight="1">
      <c r="B71" t="s" s="418">
        <v>265</v>
      </c>
      <c r="C71" t="s" s="419">
        <v>364</v>
      </c>
      <c r="D71" t="s" s="420">
        <v>162</v>
      </c>
      <c r="E71" s="421">
        <v>995</v>
      </c>
      <c r="F71" t="s" s="420">
        <v>11</v>
      </c>
      <c r="G71" t="s" s="420">
        <v>464</v>
      </c>
      <c r="H71" s="421">
        <v>0</v>
      </c>
      <c r="I71" s="421">
        <v>995</v>
      </c>
      <c r="J71" s="421">
        <v>995</v>
      </c>
      <c r="K71" s="421"/>
      <c r="L71" t="s" s="420">
        <v>12</v>
      </c>
      <c r="M71" t="s" s="420">
        <v>12</v>
      </c>
      <c r="N71" t="s" s="420">
        <v>12</v>
      </c>
      <c r="O71" t="s" s="420">
        <v>348</v>
      </c>
      <c r="P71" t="s" s="420">
        <v>348</v>
      </c>
      <c r="Q71" t="s" s="420">
        <v>249</v>
      </c>
    </row>
    <row r="72" ht="29.35" customHeight="1">
      <c r="B72" t="s" s="418">
        <v>363</v>
      </c>
      <c r="C72" t="s" s="419">
        <v>364</v>
      </c>
      <c r="D72" t="s" s="420">
        <v>162</v>
      </c>
      <c r="E72" s="421">
        <v>1350</v>
      </c>
      <c r="F72" t="s" s="420">
        <v>269</v>
      </c>
      <c r="G72" t="s" s="420">
        <v>464</v>
      </c>
      <c r="H72" s="421">
        <v>0</v>
      </c>
      <c r="I72" s="421">
        <v>0</v>
      </c>
      <c r="J72" s="421">
        <v>1350</v>
      </c>
      <c r="K72" s="421"/>
      <c r="L72" t="s" s="420">
        <v>12</v>
      </c>
      <c r="M72" t="s" s="420">
        <v>12</v>
      </c>
      <c r="N72" t="s" s="420">
        <v>12</v>
      </c>
      <c r="O72" t="s" s="420">
        <v>348</v>
      </c>
      <c r="P72" t="s" s="420">
        <v>348</v>
      </c>
      <c r="Q72" t="s" s="420">
        <v>249</v>
      </c>
    </row>
    <row r="73" ht="39.95" customHeight="1">
      <c r="B73" t="s" s="418">
        <v>355</v>
      </c>
      <c r="C73" t="s" s="419">
        <v>253</v>
      </c>
      <c r="D73" t="s" s="420">
        <v>162</v>
      </c>
      <c r="E73" s="421">
        <v>1200</v>
      </c>
      <c r="F73" t="s" s="420">
        <v>269</v>
      </c>
      <c r="G73" t="s" s="420">
        <v>463</v>
      </c>
      <c r="H73" s="421">
        <v>0</v>
      </c>
      <c r="I73" s="421">
        <v>0</v>
      </c>
      <c r="J73" s="421">
        <v>1200</v>
      </c>
      <c r="K73" s="421"/>
      <c r="L73" t="s" s="420">
        <v>12</v>
      </c>
      <c r="M73" t="s" s="420">
        <v>12</v>
      </c>
      <c r="N73" t="s" s="420">
        <v>12</v>
      </c>
      <c r="O73" t="s" s="420">
        <v>348</v>
      </c>
      <c r="P73" t="s" s="420">
        <v>348</v>
      </c>
      <c r="Q73" t="s" s="420">
        <v>249</v>
      </c>
    </row>
    <row r="74" ht="23.95" customHeight="1">
      <c r="B74" s="297"/>
      <c r="C74" s="268"/>
      <c r="D74" s="258">
        <v>0</v>
      </c>
      <c r="E74" s="258" cm="1">
        <f t="array" ref="E74">E50+E51+E53+E54+E58+E59+E61+E62+E63+E64+E65+E66+E67+E68+E69+E70+E71+E72+E73</f>
        <v>20565</v>
      </c>
      <c r="F74" t="s" s="257">
        <v>11</v>
      </c>
      <c r="G74" s="259"/>
      <c r="H74" s="298"/>
      <c r="I74" s="298"/>
      <c r="J74" s="298"/>
      <c r="K74" s="298"/>
      <c r="L74" s="259"/>
      <c r="M74" s="259"/>
      <c r="N74" s="259"/>
      <c r="O74" s="269"/>
      <c r="P74" s="257"/>
      <c r="Q74" s="257"/>
    </row>
    <row r="76" ht="58.7" customHeight="1">
      <c r="R76" t="s" s="300">
        <v>275</v>
      </c>
      <c r="S76" t="s" s="300">
        <v>276</v>
      </c>
      <c r="T76" t="s" s="300">
        <v>382</v>
      </c>
      <c r="U76" t="s" s="301">
        <v>25</v>
      </c>
      <c r="V76" t="s" s="300">
        <v>151</v>
      </c>
      <c r="W76" t="s" s="300">
        <v>230</v>
      </c>
      <c r="X76" t="s" s="300">
        <v>346</v>
      </c>
      <c r="Y76" t="s" s="300">
        <v>428</v>
      </c>
      <c r="Z76" t="s" s="300">
        <v>160</v>
      </c>
      <c r="AA76" t="s" s="300">
        <v>277</v>
      </c>
      <c r="AB76" t="s" s="300">
        <v>278</v>
      </c>
    </row>
    <row r="77" ht="37.5" customHeight="1">
      <c r="R77" s="302">
        <v>1</v>
      </c>
      <c r="S77" t="s" s="303">
        <v>279</v>
      </c>
      <c r="T77" t="s" s="303">
        <v>383</v>
      </c>
      <c r="U77" t="s" s="304">
        <v>27</v>
      </c>
      <c r="V77" t="s" s="305">
        <v>25</v>
      </c>
      <c r="W77" s="306">
        <v>5</v>
      </c>
      <c r="X77" s="306" cm="1">
        <f t="array" ref="X77">AJ139+AT197+BD255+BN313+BX370</f>
        <v>4</v>
      </c>
      <c r="Y77" s="426"/>
      <c r="Z77" s="306" cm="1">
        <f t="array" ref="Z77">AL139+AV197+BF255+BP313</f>
        <v>1</v>
      </c>
      <c r="AA77" s="307"/>
      <c r="AB77" s="308" cm="1">
        <f t="array" ref="AB77">AA77/995</f>
        <v>0</v>
      </c>
    </row>
    <row r="78" ht="37.5" customHeight="1">
      <c r="R78" s="309">
        <v>2</v>
      </c>
      <c r="S78" t="s" s="310">
        <v>280</v>
      </c>
      <c r="T78" t="s" s="310">
        <v>383</v>
      </c>
      <c r="U78" t="s" s="311">
        <v>35</v>
      </c>
      <c r="V78" t="s" s="312">
        <v>25</v>
      </c>
      <c r="W78" s="313">
        <v>1</v>
      </c>
      <c r="X78" s="313">
        <v>7</v>
      </c>
      <c r="Y78" s="314" cm="1">
        <f t="array" ref="Y78">AJ136+AT194+BD252+BN310+BX367</f>
        <v>0</v>
      </c>
      <c r="Z78" s="315" cm="1">
        <f t="array" ref="Z78">AL136+AV194+BF252+BP310+BZ367</f>
        <v>0</v>
      </c>
      <c r="AA78" s="316">
        <v>171.82</v>
      </c>
      <c r="AB78" s="317"/>
    </row>
    <row r="79" ht="36.65" customHeight="1">
      <c r="R79" s="318">
        <v>3</v>
      </c>
      <c r="S79" t="s" s="319">
        <v>281</v>
      </c>
      <c r="T79" t="s" s="319">
        <v>384</v>
      </c>
      <c r="U79" t="s" s="320">
        <v>47</v>
      </c>
      <c r="V79" t="s" s="321">
        <v>25</v>
      </c>
      <c r="W79" s="313">
        <v>15</v>
      </c>
      <c r="X79" s="313">
        <v>11</v>
      </c>
      <c r="Y79" s="314" cm="1">
        <f t="array" ref="Y79">AJ137+AT195+BD253+BN311+BX368</f>
        <v>8</v>
      </c>
      <c r="Z79" s="315" cm="1">
        <f t="array" ref="Z79">AL137+AV195+BF253+BP311+BZ368</f>
        <v>0</v>
      </c>
      <c r="AA79" s="316" cm="1">
        <f t="array" ref="AA79">450/X79</f>
        <v>40.9090909090909</v>
      </c>
      <c r="AB79" s="317"/>
    </row>
    <row r="80" ht="37.5" customHeight="1">
      <c r="R80" s="309">
        <v>4</v>
      </c>
      <c r="S80" t="s" s="310">
        <v>282</v>
      </c>
      <c r="T80" t="s" s="310">
        <v>385</v>
      </c>
      <c r="U80" t="s" s="311">
        <v>10</v>
      </c>
      <c r="V80" t="s" s="321">
        <v>25</v>
      </c>
      <c r="W80" s="313">
        <v>17</v>
      </c>
      <c r="X80" s="313">
        <v>17</v>
      </c>
      <c r="Y80" s="314" cm="1">
        <f t="array" ref="Y80">AJ138+AT196+BD254+BN312+BX369</f>
        <v>5</v>
      </c>
      <c r="Z80" s="315" cm="1">
        <f t="array" ref="Z80">AL138+AV196+BF254+BP312+BZ369</f>
        <v>0</v>
      </c>
      <c r="AA80" s="316">
        <v>171.82</v>
      </c>
      <c r="AB80" s="322"/>
    </row>
    <row r="81" ht="37.5" customHeight="1">
      <c r="R81" s="318">
        <v>5</v>
      </c>
      <c r="S81" t="s" s="319">
        <v>283</v>
      </c>
      <c r="T81" t="s" s="319">
        <v>386</v>
      </c>
      <c r="U81" t="s" s="320">
        <v>32</v>
      </c>
      <c r="V81" t="s" s="321">
        <v>25</v>
      </c>
      <c r="W81" s="313">
        <v>7</v>
      </c>
      <c r="X81" s="313">
        <v>5</v>
      </c>
      <c r="Y81" s="314" cm="1">
        <f t="array" ref="Y81">AJ139+AT197+BD255+BN313+BX370</f>
        <v>4</v>
      </c>
      <c r="Z81" s="315" cm="1">
        <f t="array" ref="Z81">AL139+AV197+BF255+BP313+BZ370</f>
        <v>1</v>
      </c>
      <c r="AA81" s="316"/>
      <c r="AB81" s="317"/>
    </row>
    <row r="82" ht="37.85" customHeight="1">
      <c r="R82" s="318">
        <v>6</v>
      </c>
      <c r="S82" t="s" s="319">
        <v>284</v>
      </c>
      <c r="T82" t="s" s="319">
        <v>387</v>
      </c>
      <c r="U82" t="s" s="320">
        <v>16</v>
      </c>
      <c r="V82" t="s" s="321">
        <v>25</v>
      </c>
      <c r="W82" s="313">
        <v>17</v>
      </c>
      <c r="X82" s="313">
        <v>12</v>
      </c>
      <c r="Y82" s="314" cm="1">
        <f t="array" ref="Y82">AJ140+AT198+BD256+BN314+BX371</f>
        <v>7</v>
      </c>
      <c r="Z82" s="315" cm="1">
        <f t="array" ref="Z82">AL140+AV198+BF256+BP314+BZ371</f>
        <v>0</v>
      </c>
      <c r="AA82" s="316" cm="1">
        <f t="array" ref="AA82">750/Y82</f>
        <v>107.142857142857</v>
      </c>
      <c r="AB82" s="317"/>
    </row>
    <row r="83" ht="37.5" customHeight="1">
      <c r="R83" s="318">
        <v>7</v>
      </c>
      <c r="S83" t="s" s="319">
        <v>285</v>
      </c>
      <c r="T83" s="319"/>
      <c r="U83" t="s" s="320">
        <v>18</v>
      </c>
      <c r="V83" t="s" s="321">
        <v>25</v>
      </c>
      <c r="W83" s="313">
        <v>0</v>
      </c>
      <c r="X83" s="313">
        <v>0</v>
      </c>
      <c r="Y83" s="314" cm="1">
        <f t="array" ref="Y83">AJ141+AT199+BD257+BN315+BX372</f>
        <v>0</v>
      </c>
      <c r="Z83" s="315" cm="1">
        <f t="array" ref="Z83">AL141+AV199+BF257+BP315+BZ372</f>
        <v>0</v>
      </c>
      <c r="AA83" s="316"/>
      <c r="AB83" s="317"/>
    </row>
    <row r="84" ht="37.5" customHeight="1">
      <c r="R84" s="318">
        <v>8</v>
      </c>
      <c r="S84" t="s" s="319">
        <v>286</v>
      </c>
      <c r="T84" s="319"/>
      <c r="U84" t="s" s="320">
        <v>287</v>
      </c>
      <c r="V84" t="s" s="321">
        <v>25</v>
      </c>
      <c r="W84" s="313">
        <v>2</v>
      </c>
      <c r="X84" s="313">
        <v>0</v>
      </c>
      <c r="Y84" s="314" cm="1">
        <f t="array" ref="Y84">AJ142+AT200+BD258+BN316+BX373</f>
        <v>0</v>
      </c>
      <c r="Z84" s="315" cm="1">
        <f t="array" ref="Z84">AL142+AV200+BF258+BP316+BZ373</f>
        <v>0</v>
      </c>
      <c r="AA84" s="316"/>
      <c r="AB84" s="317"/>
    </row>
    <row r="85" ht="26.8" customHeight="1">
      <c r="R85" s="318">
        <v>9</v>
      </c>
      <c r="S85" t="s" s="319">
        <v>288</v>
      </c>
      <c r="T85" s="319"/>
      <c r="U85" t="s" s="320">
        <v>45</v>
      </c>
      <c r="V85" t="s" s="321">
        <v>25</v>
      </c>
      <c r="W85" s="313">
        <v>15</v>
      </c>
      <c r="X85" s="313">
        <v>14</v>
      </c>
      <c r="Y85" s="314" cm="1">
        <f t="array" ref="Y85">AJ143+AT201+BD259+BN317+BX374</f>
        <v>13</v>
      </c>
      <c r="Z85" s="315" cm="1">
        <f t="array" ref="Z85">AL143+AV201+BF259+BP317+BZ374</f>
        <v>0</v>
      </c>
      <c r="AA85" s="316">
        <v>75</v>
      </c>
      <c r="AB85" s="317"/>
    </row>
    <row r="86" ht="39.05" customHeight="1">
      <c r="R86" s="318">
        <v>10</v>
      </c>
      <c r="S86" t="s" s="319">
        <v>289</v>
      </c>
      <c r="T86" t="s" s="319">
        <v>388</v>
      </c>
      <c r="U86" t="s" s="320">
        <v>154</v>
      </c>
      <c r="V86" t="s" s="321">
        <v>25</v>
      </c>
      <c r="W86" s="313">
        <v>9</v>
      </c>
      <c r="X86" s="313">
        <v>6</v>
      </c>
      <c r="Y86" s="314" cm="1">
        <f t="array" ref="Y86">AJ144+AT202+BD260+BN318+BX375</f>
        <v>1</v>
      </c>
      <c r="Z86" s="315" cm="1">
        <f t="array" ref="Z86">AL144+AV202+BF260+BP318+BZ375</f>
        <v>0</v>
      </c>
      <c r="AA86" s="316" cm="1">
        <f t="array" ref="AA86">E54/Y86</f>
        <v>995</v>
      </c>
      <c r="AB86" s="317"/>
    </row>
    <row r="87" ht="37.5" customHeight="1">
      <c r="R87" s="318">
        <v>11</v>
      </c>
      <c r="S87" t="s" s="319">
        <v>290</v>
      </c>
      <c r="T87" t="s" s="319">
        <v>389</v>
      </c>
      <c r="U87" t="s" s="320">
        <v>257</v>
      </c>
      <c r="V87" t="s" s="321">
        <v>25</v>
      </c>
      <c r="W87" s="313">
        <v>10</v>
      </c>
      <c r="X87" s="313">
        <v>15</v>
      </c>
      <c r="Y87" s="314" cm="1">
        <f t="array" ref="Y87">AJ145+AT203+BD261+BN319+BX376</f>
        <v>6</v>
      </c>
      <c r="Z87" s="315" cm="1">
        <f t="array" ref="Z87">AL145+AV203+BF261+BP319+BZ376</f>
        <v>0</v>
      </c>
      <c r="AA87" s="323" cm="1">
        <f t="array" ref="AA87">600/X87</f>
        <v>40</v>
      </c>
      <c r="AB87" s="322"/>
    </row>
    <row r="88" ht="26.8" customHeight="1">
      <c r="R88" s="318">
        <v>12</v>
      </c>
      <c r="S88" t="s" s="319">
        <v>291</v>
      </c>
      <c r="T88" t="s" s="319">
        <v>390</v>
      </c>
      <c r="U88" t="s" s="320">
        <v>391</v>
      </c>
      <c r="V88" t="s" s="321">
        <v>25</v>
      </c>
      <c r="W88" s="313">
        <v>11</v>
      </c>
      <c r="X88" s="313">
        <v>10</v>
      </c>
      <c r="Y88" s="314" cm="1">
        <f t="array" ref="Y88">AJ146+AT204+BD262+BN320+BX377</f>
        <v>2</v>
      </c>
      <c r="Z88" s="315" cm="1">
        <f t="array" ref="Z88">AL146+AV204+BF262+BP320+BZ377</f>
        <v>0</v>
      </c>
      <c r="AA88" s="316" cm="1">
        <f t="array" ref="AA88">E66/X88</f>
        <v>60</v>
      </c>
      <c r="AB88" s="317"/>
    </row>
    <row r="89" ht="26.8" customHeight="1">
      <c r="R89" s="318">
        <v>13</v>
      </c>
      <c r="S89" t="s" s="319">
        <v>293</v>
      </c>
      <c r="T89" t="s" s="319">
        <v>392</v>
      </c>
      <c r="U89" t="s" s="320">
        <v>393</v>
      </c>
      <c r="V89" t="s" s="321">
        <v>25</v>
      </c>
      <c r="W89" s="313">
        <v>3</v>
      </c>
      <c r="X89" s="313">
        <v>0</v>
      </c>
      <c r="Y89" s="314" cm="1">
        <f t="array" ref="Y89">AJ147+AT205+BD263+BN321+BX378</f>
        <v>0</v>
      </c>
      <c r="Z89" s="315" cm="1">
        <f t="array" ref="Z89">AL147+AV205+BF263+BP321+BZ378</f>
        <v>0</v>
      </c>
      <c r="AA89" s="316" cm="1">
        <f t="array" ref="AA89">600/X89</f>
      </c>
      <c r="AB89" s="317"/>
    </row>
    <row r="90" ht="26.8" customHeight="1">
      <c r="R90" s="318">
        <v>14</v>
      </c>
      <c r="S90" t="s" s="319">
        <v>294</v>
      </c>
      <c r="T90" t="s" s="319">
        <v>394</v>
      </c>
      <c r="U90" t="s" s="320">
        <v>395</v>
      </c>
      <c r="V90" t="s" s="321">
        <v>25</v>
      </c>
      <c r="W90" s="313">
        <v>6</v>
      </c>
      <c r="X90" s="313">
        <v>0</v>
      </c>
      <c r="Y90" s="314" cm="1">
        <f t="array" ref="Y90">AJ148+AT206+BD264+BN322+BX379</f>
        <v>0</v>
      </c>
      <c r="Z90" s="315" cm="1">
        <f t="array" ref="Z90">AL148+AV206+BF264+BP322+BZ379</f>
        <v>0</v>
      </c>
      <c r="AA90" s="316" cm="1">
        <f t="array" ref="AA90">600/X90</f>
      </c>
      <c r="AB90" s="317"/>
    </row>
    <row r="91" ht="37.5" customHeight="1">
      <c r="R91" s="318">
        <v>15</v>
      </c>
      <c r="S91" t="s" s="319">
        <v>295</v>
      </c>
      <c r="T91" t="s" s="319">
        <v>396</v>
      </c>
      <c r="U91" t="s" s="320">
        <v>155</v>
      </c>
      <c r="V91" t="s" s="321">
        <v>25</v>
      </c>
      <c r="W91" s="313">
        <v>13</v>
      </c>
      <c r="X91" s="313">
        <v>9</v>
      </c>
      <c r="Y91" s="314" cm="1">
        <f t="array" ref="Y91">AJ149+AT207+BD265+BN323+BX380</f>
        <v>1</v>
      </c>
      <c r="Z91" s="315" cm="1">
        <f t="array" ref="Z91">AL149+AV207+BF265+BP323+BZ380</f>
        <v>0</v>
      </c>
      <c r="AA91" s="316" cm="1">
        <f t="array" ref="AA91">583/X91</f>
        <v>64.7777777777778</v>
      </c>
      <c r="AB91" s="317"/>
    </row>
    <row r="92" ht="37.5" customHeight="1">
      <c r="R92" s="309">
        <v>16</v>
      </c>
      <c r="S92" t="s" s="310">
        <v>296</v>
      </c>
      <c r="T92" t="s" s="310">
        <v>397</v>
      </c>
      <c r="U92" t="s" s="311">
        <v>37</v>
      </c>
      <c r="V92" t="s" s="321">
        <v>25</v>
      </c>
      <c r="W92" s="313">
        <v>6</v>
      </c>
      <c r="X92" s="313">
        <v>13</v>
      </c>
      <c r="Y92" s="314" cm="1">
        <f t="array" ref="Y92">AJ150+AT208+BD266+BN324+BX381</f>
        <v>9</v>
      </c>
      <c r="Z92" s="315" cm="1">
        <f t="array" ref="Z92">AL150+AV208+BF266+BP324+BZ381</f>
        <v>0</v>
      </c>
      <c r="AA92" s="323">
        <v>171.82</v>
      </c>
      <c r="AB92" s="322"/>
    </row>
    <row r="93" ht="37.5" customHeight="1">
      <c r="R93" s="318">
        <v>17</v>
      </c>
      <c r="S93" t="s" s="319">
        <v>297</v>
      </c>
      <c r="T93" t="s" s="319">
        <v>398</v>
      </c>
      <c r="U93" t="s" s="320">
        <v>19</v>
      </c>
      <c r="V93" t="s" s="321">
        <v>25</v>
      </c>
      <c r="W93" s="313">
        <v>2</v>
      </c>
      <c r="X93" s="313">
        <v>0</v>
      </c>
      <c r="Y93" s="314" cm="1">
        <f t="array" ref="Y93">AJ152+AT210+BD268+BN326+BX383</f>
        <v>0</v>
      </c>
      <c r="Z93" s="315" cm="1">
        <f t="array" ref="Z93">AL152+AV210+BF268+BP326+BZ383</f>
        <v>0</v>
      </c>
      <c r="AA93" s="316" cm="1">
        <f t="array" ref="AA93">I58/X93</f>
      </c>
      <c r="AB93" s="317"/>
    </row>
    <row r="94" ht="37.5" customHeight="1">
      <c r="R94" s="318">
        <v>18</v>
      </c>
      <c r="S94" t="s" s="319">
        <v>298</v>
      </c>
      <c r="T94" t="s" s="319">
        <v>399</v>
      </c>
      <c r="U94" t="s" s="320">
        <v>239</v>
      </c>
      <c r="V94" t="s" s="321">
        <v>25</v>
      </c>
      <c r="W94" s="313">
        <v>2</v>
      </c>
      <c r="X94" s="313">
        <v>0</v>
      </c>
      <c r="Y94" s="314" cm="1">
        <f t="array" ref="Y94">AJ153+AT211+BD269+BN327+BX384</f>
        <v>0</v>
      </c>
      <c r="Z94" s="315" cm="1">
        <f t="array" ref="Z94">AL153+AV211+BF269+BP327+BZ384</f>
        <v>0</v>
      </c>
      <c r="AA94" s="316" cm="1">
        <f t="array" ref="AA94">E59/X94</f>
      </c>
      <c r="AB94" s="317"/>
    </row>
    <row r="95" ht="37.5" customHeight="1">
      <c r="R95" s="318">
        <v>19</v>
      </c>
      <c r="S95" t="s" s="319">
        <v>299</v>
      </c>
      <c r="T95" t="s" s="319">
        <v>400</v>
      </c>
      <c r="U95" t="s" s="320">
        <v>262</v>
      </c>
      <c r="V95" t="s" s="321">
        <v>25</v>
      </c>
      <c r="W95" s="313">
        <v>8</v>
      </c>
      <c r="X95" s="313">
        <v>12</v>
      </c>
      <c r="Y95" s="314" cm="1">
        <f t="array" ref="Y95">AJ154+AT212+BD270+BN328+BX385</f>
        <v>13</v>
      </c>
      <c r="Z95" s="315" cm="1">
        <f t="array" ref="Z95">AL154+AV212+BF270+BP328+BZ385</f>
        <v>0</v>
      </c>
      <c r="AA95" s="323" cm="1">
        <f t="array" ref="AA95">E9/Y95</f>
        <v>69.1538461538462</v>
      </c>
      <c r="AB95" s="322"/>
    </row>
    <row r="96" ht="37.5" customHeight="1">
      <c r="R96" s="318">
        <v>20</v>
      </c>
      <c r="S96" t="s" s="319">
        <v>300</v>
      </c>
      <c r="T96" t="s" s="319">
        <v>401</v>
      </c>
      <c r="U96" t="s" s="320">
        <v>265</v>
      </c>
      <c r="V96" t="s" s="321">
        <v>25</v>
      </c>
      <c r="W96" s="313">
        <v>8</v>
      </c>
      <c r="X96" s="313">
        <v>16</v>
      </c>
      <c r="Y96" s="314" cm="1">
        <f t="array" ref="Y96">AJ155+AT213+BD271+BN329+BX386</f>
        <v>4</v>
      </c>
      <c r="Z96" s="315" cm="1">
        <f t="array" ref="Z96">AL155+AV213+BF271+BP329+BZ386</f>
        <v>2</v>
      </c>
      <c r="AA96" s="316" cm="1">
        <f t="array" ref="AA96">I71/X96</f>
        <v>62.1875</v>
      </c>
      <c r="AB96" s="317"/>
    </row>
    <row r="97" ht="37.5" customHeight="1">
      <c r="R97" s="318">
        <v>21</v>
      </c>
      <c r="S97" t="s" s="319">
        <v>301</v>
      </c>
      <c r="T97" t="s" s="319">
        <v>402</v>
      </c>
      <c r="U97" t="s" s="320">
        <v>250</v>
      </c>
      <c r="V97" t="s" s="321">
        <v>25</v>
      </c>
      <c r="W97" s="313">
        <v>8</v>
      </c>
      <c r="X97" s="313">
        <v>17</v>
      </c>
      <c r="Y97" s="314" cm="1">
        <f t="array" ref="Y97">AJ156+AT214+BD272+BN330+BX387</f>
        <v>9</v>
      </c>
      <c r="Z97" s="315" cm="1">
        <f t="array" ref="Z97">AL156+AV214+BF272+BP330+BZ387</f>
        <v>0</v>
      </c>
      <c r="AA97" s="323" cm="1">
        <f t="array" ref="AA97">600/X97</f>
        <v>35.2941176470588</v>
      </c>
      <c r="AB97" s="322"/>
    </row>
    <row r="98" ht="31.25" customHeight="1">
      <c r="R98" s="318">
        <v>22</v>
      </c>
      <c r="S98" t="s" s="319">
        <v>302</v>
      </c>
      <c r="T98" t="s" s="319">
        <v>403</v>
      </c>
      <c r="U98" t="s" s="320">
        <v>268</v>
      </c>
      <c r="V98" t="s" s="321">
        <v>25</v>
      </c>
      <c r="W98" s="313">
        <v>3</v>
      </c>
      <c r="X98" s="313">
        <v>0</v>
      </c>
      <c r="Y98" s="314" cm="1">
        <f t="array" ref="Y98">AJ157+AT215+BD273+BN331+BX388</f>
        <v>1</v>
      </c>
      <c r="Z98" s="315" cm="1">
        <f t="array" ref="Z98">AL157+AV215+BF273+BP331+BZ388</f>
        <v>0</v>
      </c>
      <c r="AA98" s="316" cm="1">
        <f t="array" ref="AA98">I51/X98</f>
      </c>
      <c r="AB98" s="317"/>
    </row>
    <row r="99" ht="26.8" customHeight="1">
      <c r="R99" s="318">
        <v>23</v>
      </c>
      <c r="S99" t="s" s="319">
        <v>303</v>
      </c>
      <c r="T99" t="s" s="319">
        <v>404</v>
      </c>
      <c r="U99" t="s" s="320">
        <v>156</v>
      </c>
      <c r="V99" t="s" s="321">
        <v>25</v>
      </c>
      <c r="W99" s="313">
        <v>14</v>
      </c>
      <c r="X99" s="313">
        <v>11</v>
      </c>
      <c r="Y99" s="314" cm="1">
        <f t="array" ref="Y99">AJ158+AT216+BD274+BN332+BX389</f>
        <v>11</v>
      </c>
      <c r="Z99" s="315" cm="1">
        <f t="array" ref="Z99">AL158+AV216+BF274+BP332+BZ389</f>
        <v>0</v>
      </c>
      <c r="AA99" s="323">
        <v>0</v>
      </c>
      <c r="AB99" s="322"/>
    </row>
    <row r="100" ht="37.5" customHeight="1">
      <c r="R100" s="318">
        <v>24</v>
      </c>
      <c r="S100" t="s" s="319">
        <v>304</v>
      </c>
      <c r="T100" s="319"/>
      <c r="U100" t="s" s="320">
        <v>259</v>
      </c>
      <c r="V100" t="s" s="321">
        <v>25</v>
      </c>
      <c r="W100" s="313">
        <v>3</v>
      </c>
      <c r="X100" s="313">
        <v>0</v>
      </c>
      <c r="Y100" s="314" cm="1">
        <f t="array" ref="Y100">AJ159+AT217+BD275+BN333+BX390</f>
        <v>0</v>
      </c>
      <c r="Z100" s="315" cm="1">
        <f t="array" ref="Z100">AL159+AV217+BF275+BP333+BZ390</f>
        <v>0</v>
      </c>
      <c r="AA100" s="316" cm="1">
        <f t="array" ref="AA100">I56/X100</f>
      </c>
      <c r="AB100" s="317"/>
    </row>
    <row r="101" ht="37.5" customHeight="1">
      <c r="R101" s="318">
        <v>25</v>
      </c>
      <c r="S101" t="s" s="319">
        <v>305</v>
      </c>
      <c r="T101" s="319"/>
      <c r="U101" t="s" s="320">
        <v>274</v>
      </c>
      <c r="V101" t="s" s="321">
        <v>25</v>
      </c>
      <c r="W101" s="313">
        <v>2</v>
      </c>
      <c r="X101" s="313">
        <v>0</v>
      </c>
      <c r="Y101" s="314" cm="1">
        <f t="array" ref="Y101">AJ160+AT218+BD276+BN334+BX391</f>
        <v>0</v>
      </c>
      <c r="Z101" s="315" cm="1">
        <f t="array" ref="Z101">AL160+AV218+BF276+BP334+BZ391</f>
        <v>0</v>
      </c>
      <c r="AA101" s="316">
        <v>75</v>
      </c>
      <c r="AB101" s="317"/>
    </row>
    <row r="102" ht="37.5" customHeight="1">
      <c r="R102" s="318">
        <v>26</v>
      </c>
      <c r="S102" t="s" s="319">
        <v>306</v>
      </c>
      <c r="T102" s="319"/>
      <c r="U102" t="s" s="320">
        <v>48</v>
      </c>
      <c r="V102" t="s" s="321">
        <v>25</v>
      </c>
      <c r="W102" s="313">
        <v>5</v>
      </c>
      <c r="X102" s="313">
        <v>4</v>
      </c>
      <c r="Y102" s="314" cm="1">
        <f t="array" ref="Y102">AJ161+AT219+BD277+BN335+BX392</f>
        <v>2</v>
      </c>
      <c r="Z102" s="315" cm="1">
        <f t="array" ref="Z102">AL161+AV219+BF277+BP335+BZ392</f>
        <v>0</v>
      </c>
      <c r="AA102" s="316">
        <v>75</v>
      </c>
      <c r="AB102" s="317"/>
    </row>
    <row r="103" ht="37.5" customHeight="1">
      <c r="R103" s="318">
        <v>27</v>
      </c>
      <c r="S103" t="s" s="319">
        <v>307</v>
      </c>
      <c r="T103" s="319"/>
      <c r="U103" t="s" s="320">
        <v>49</v>
      </c>
      <c r="V103" t="s" s="321">
        <v>25</v>
      </c>
      <c r="W103" s="313">
        <v>5</v>
      </c>
      <c r="X103" s="313">
        <v>4</v>
      </c>
      <c r="Y103" s="314" cm="1">
        <f t="array" ref="Y103">AJ162+AT220+BD278+BN336+BX393</f>
        <v>2</v>
      </c>
      <c r="Z103" s="315" cm="1">
        <f t="array" ref="Z103">AL162+AV220+BF278+BP336+BZ393</f>
        <v>0</v>
      </c>
      <c r="AA103" s="316">
        <v>75</v>
      </c>
      <c r="AB103" s="317"/>
    </row>
    <row r="104" ht="37.5" customHeight="1">
      <c r="R104" s="318">
        <v>28</v>
      </c>
      <c r="S104" t="s" s="319">
        <v>308</v>
      </c>
      <c r="T104" s="319"/>
      <c r="U104" t="s" s="320">
        <v>50</v>
      </c>
      <c r="V104" t="s" s="321">
        <v>25</v>
      </c>
      <c r="W104" s="313">
        <v>4</v>
      </c>
      <c r="X104" s="313">
        <v>5</v>
      </c>
      <c r="Y104" s="314" cm="1">
        <f t="array" ref="Y104">AJ163+AT221+BD279+BN337+BX394</f>
        <v>6</v>
      </c>
      <c r="Z104" s="315" cm="1">
        <f t="array" ref="Z104">AL163+AV221+BF279+BP337+BZ394</f>
        <v>0</v>
      </c>
      <c r="AA104" s="316">
        <v>75</v>
      </c>
      <c r="AB104" s="317"/>
    </row>
    <row r="105" ht="37.5" customHeight="1">
      <c r="R105" s="318">
        <v>29</v>
      </c>
      <c r="S105" t="s" s="319">
        <v>309</v>
      </c>
      <c r="T105" s="319"/>
      <c r="U105" t="s" s="320">
        <v>51</v>
      </c>
      <c r="V105" t="s" s="321">
        <v>25</v>
      </c>
      <c r="W105" s="313">
        <v>0</v>
      </c>
      <c r="X105" s="313">
        <v>1</v>
      </c>
      <c r="Y105" s="314" cm="1">
        <f t="array" ref="Y105">AJ164+AT222+BD280+BN338+BX395</f>
        <v>2</v>
      </c>
      <c r="Z105" s="315" cm="1">
        <f t="array" ref="Z105">AL164+AV222+BF280+BP338+BZ395</f>
        <v>0</v>
      </c>
      <c r="AA105" s="316">
        <v>75</v>
      </c>
      <c r="AB105" s="317"/>
    </row>
    <row r="106" ht="37.5" customHeight="1">
      <c r="R106" s="318">
        <v>30</v>
      </c>
      <c r="S106" t="s" s="319">
        <v>310</v>
      </c>
      <c r="T106" s="319"/>
      <c r="U106" t="s" s="320">
        <v>52</v>
      </c>
      <c r="V106" t="s" s="321">
        <v>25</v>
      </c>
      <c r="W106" s="313">
        <v>3</v>
      </c>
      <c r="X106" s="313">
        <v>3</v>
      </c>
      <c r="Y106" s="314" cm="1">
        <f t="array" ref="Y106">AJ165+AT223+BD281+BN339+BX396</f>
        <v>3</v>
      </c>
      <c r="Z106" s="315" cm="1">
        <f t="array" ref="Z106">AL165+AV223+BF281+BP339+BZ396</f>
        <v>0</v>
      </c>
      <c r="AA106" s="316">
        <v>75</v>
      </c>
      <c r="AB106" s="317"/>
    </row>
    <row r="107" ht="37.5" customHeight="1">
      <c r="R107" s="318">
        <v>31</v>
      </c>
      <c r="S107" t="s" s="319">
        <v>311</v>
      </c>
      <c r="T107" s="319"/>
      <c r="U107" t="s" s="320">
        <v>115</v>
      </c>
      <c r="V107" t="s" s="321">
        <v>25</v>
      </c>
      <c r="W107" s="313">
        <v>6</v>
      </c>
      <c r="X107" s="313">
        <v>3</v>
      </c>
      <c r="Y107" s="314" cm="1">
        <f t="array" ref="Y107">AJ166+AT224+BD282+BN340+BX397</f>
        <v>3</v>
      </c>
      <c r="Z107" s="315" cm="1">
        <f t="array" ref="Z107">AL166+AV224+BF282+BP340+BZ397</f>
        <v>0</v>
      </c>
      <c r="AA107" s="316">
        <v>75</v>
      </c>
      <c r="AB107" s="317"/>
    </row>
    <row r="108" ht="37.5" customHeight="1">
      <c r="R108" s="318">
        <v>32</v>
      </c>
      <c r="S108" t="s" s="319">
        <v>312</v>
      </c>
      <c r="T108" s="319"/>
      <c r="U108" t="s" s="320">
        <v>197</v>
      </c>
      <c r="V108" t="s" s="321">
        <v>25</v>
      </c>
      <c r="W108" s="313">
        <v>2</v>
      </c>
      <c r="X108" s="313">
        <v>0</v>
      </c>
      <c r="Y108" s="314" cm="1">
        <f t="array" ref="Y108">AJ167+AT225+BD283+BN341+BX398</f>
        <v>0</v>
      </c>
      <c r="Z108" s="315" cm="1">
        <f t="array" ref="Z108">AL167+AV225+BF283+BP341+BZ398</f>
        <v>0</v>
      </c>
      <c r="AA108" s="316">
        <v>75</v>
      </c>
      <c r="AB108" s="317"/>
    </row>
    <row r="109" ht="37.5" customHeight="1">
      <c r="R109" s="318">
        <v>33</v>
      </c>
      <c r="S109" t="s" s="319">
        <v>313</v>
      </c>
      <c r="T109" s="319"/>
      <c r="U109" t="s" s="320">
        <v>46</v>
      </c>
      <c r="V109" t="s" s="321">
        <v>25</v>
      </c>
      <c r="W109" s="313">
        <v>16</v>
      </c>
      <c r="X109" s="313">
        <v>3</v>
      </c>
      <c r="Y109" s="314" cm="1">
        <f t="array" ref="Y109">AJ168+AT226+BD284+BN342+BX399</f>
        <v>10</v>
      </c>
      <c r="Z109" s="315" cm="1">
        <f t="array" ref="Z109">AL168+AV226+BF284+BP342+BZ399</f>
        <v>0</v>
      </c>
      <c r="AA109" s="316">
        <v>75</v>
      </c>
      <c r="AB109" s="317"/>
    </row>
    <row r="110" ht="37.5" customHeight="1">
      <c r="R110" s="318">
        <v>34</v>
      </c>
      <c r="S110" t="s" s="319">
        <v>314</v>
      </c>
      <c r="T110" s="319"/>
      <c r="U110" t="s" s="320">
        <v>191</v>
      </c>
      <c r="V110" t="s" s="321">
        <v>25</v>
      </c>
      <c r="W110" s="313">
        <v>11</v>
      </c>
      <c r="X110" s="313">
        <v>10</v>
      </c>
      <c r="Y110" s="314" cm="1">
        <f t="array" ref="Y110">AJ169+AT227+BD285+BN343+BX400</f>
        <v>7</v>
      </c>
      <c r="Z110" s="315" cm="1">
        <f t="array" ref="Z110">AL169+AV227+BF285+BP343+BZ400</f>
        <v>0</v>
      </c>
      <c r="AA110" s="316">
        <v>75</v>
      </c>
      <c r="AB110" s="317"/>
    </row>
    <row r="111" ht="31.25" customHeight="1">
      <c r="R111" s="318">
        <v>35</v>
      </c>
      <c r="S111" t="s" s="319">
        <v>315</v>
      </c>
      <c r="T111" t="s" s="319">
        <v>405</v>
      </c>
      <c r="U111" t="s" s="320">
        <v>109</v>
      </c>
      <c r="V111" t="s" s="321">
        <v>25</v>
      </c>
      <c r="W111" s="313">
        <v>6</v>
      </c>
      <c r="X111" s="313">
        <v>7</v>
      </c>
      <c r="Y111" s="314" cm="1">
        <f t="array" ref="Y111">AJ170+AT228+BD286+BN344+BX401</f>
        <v>11</v>
      </c>
      <c r="Z111" s="315" cm="1">
        <f t="array" ref="Z111">AL170+AV228+BF286+BP344+BZ401</f>
        <v>0</v>
      </c>
      <c r="AA111" s="323"/>
      <c r="AB111" s="322"/>
    </row>
    <row r="112" ht="31.25" customHeight="1">
      <c r="R112" s="318">
        <v>36</v>
      </c>
      <c r="S112" t="s" s="319">
        <v>316</v>
      </c>
      <c r="T112" t="s" s="324">
        <v>406</v>
      </c>
      <c r="U112" t="s" s="320">
        <v>270</v>
      </c>
      <c r="V112" t="s" s="321">
        <v>25</v>
      </c>
      <c r="W112" s="313">
        <v>3</v>
      </c>
      <c r="X112" s="313">
        <v>1</v>
      </c>
      <c r="Y112" s="314" cm="1">
        <f t="array" ref="Y112">AJ171+AT229+BD287+BN345+BX402</f>
        <v>0</v>
      </c>
      <c r="Z112" s="315" cm="1">
        <f t="array" ref="Z112">AL171+AV229+BF287+BP345+BZ402</f>
        <v>0</v>
      </c>
      <c r="AA112" s="316" cm="1">
        <f t="array" ref="AA112">600/X112</f>
        <v>600</v>
      </c>
      <c r="AB112" s="317"/>
    </row>
    <row r="113" ht="31.25" customHeight="1">
      <c r="R113" s="318">
        <v>37</v>
      </c>
      <c r="S113" t="s" s="319">
        <v>317</v>
      </c>
      <c r="T113" t="s" s="324">
        <v>407</v>
      </c>
      <c r="U113" t="s" s="320">
        <v>272</v>
      </c>
      <c r="V113" t="s" s="321">
        <v>25</v>
      </c>
      <c r="W113" s="313">
        <v>0</v>
      </c>
      <c r="X113" s="313">
        <v>3</v>
      </c>
      <c r="Y113" s="314" cm="1">
        <f t="array" ref="Y113">AJ172+AT230+BD288+BN346+BX403</f>
        <v>0</v>
      </c>
      <c r="Z113" s="315" cm="1">
        <f t="array" ref="Z113">AL174+AV232+BF290+BP348+BZ405</f>
        <v>0</v>
      </c>
      <c r="AA113" s="316" cm="1">
        <f t="array" ref="AA113">600/X113</f>
        <v>200</v>
      </c>
      <c r="AB113" s="317"/>
    </row>
    <row r="114" ht="31.25" customHeight="1">
      <c r="R114" s="318">
        <v>38</v>
      </c>
      <c r="S114" t="s" s="319">
        <v>318</v>
      </c>
      <c r="T114" s="319"/>
      <c r="U114" t="s" s="320">
        <v>319</v>
      </c>
      <c r="V114" t="s" s="321">
        <v>25</v>
      </c>
      <c r="W114" s="313">
        <v>1</v>
      </c>
      <c r="X114" s="313">
        <v>6</v>
      </c>
      <c r="Y114" s="314" cm="1">
        <f t="array" ref="Y114">AJ173+AT231+BD289+BN347+BX404</f>
        <v>0</v>
      </c>
      <c r="Z114" s="315" cm="1">
        <f t="array" ref="Z114">AL173+AV231+BF289+BP347+BZ404</f>
        <v>0</v>
      </c>
      <c r="AA114" s="316">
        <v>0</v>
      </c>
      <c r="AB114" s="317"/>
    </row>
    <row r="115" ht="31.25" customHeight="1">
      <c r="R115" s="318">
        <v>39</v>
      </c>
      <c r="S115" t="s" s="319">
        <v>408</v>
      </c>
      <c r="T115" t="s" s="319">
        <v>409</v>
      </c>
      <c r="U115" t="s" s="320">
        <v>352</v>
      </c>
      <c r="V115" t="s" s="321">
        <v>25</v>
      </c>
      <c r="W115" t="s" s="325">
        <v>25</v>
      </c>
      <c r="X115" s="313">
        <v>19</v>
      </c>
      <c r="Y115" s="314" cm="1">
        <f t="array" ref="Y115">AJ174+AT232+BD290+BN348+BX405</f>
        <v>9</v>
      </c>
      <c r="Z115" s="315" cm="1">
        <f t="array" ref="Z115">AL174+AV232+BF290+BP348+BZ405</f>
        <v>0</v>
      </c>
      <c r="AA115" s="316" cm="1">
        <f t="array" ref="AA115">E10/X115</f>
        <v>63.1578947368421</v>
      </c>
      <c r="AB115" s="317"/>
    </row>
    <row r="116" ht="31.25" customHeight="1">
      <c r="R116" s="318">
        <v>40</v>
      </c>
      <c r="S116" t="s" s="319">
        <v>410</v>
      </c>
      <c r="T116" t="s" s="324">
        <v>411</v>
      </c>
      <c r="U116" t="s" s="320">
        <v>349</v>
      </c>
      <c r="V116" t="s" s="321">
        <v>25</v>
      </c>
      <c r="W116" t="s" s="325">
        <v>25</v>
      </c>
      <c r="X116" s="313">
        <v>18</v>
      </c>
      <c r="Y116" s="314" cm="1">
        <f t="array" ref="Y116">AJ175+AT233+BD291+BN349+BX406</f>
        <v>12</v>
      </c>
      <c r="Z116" s="315" cm="1">
        <f t="array" ref="Z116">AL175+AV233+BF291+BP349+BZ406</f>
        <v>0</v>
      </c>
      <c r="AA116" s="316" cm="1">
        <f t="array" ref="AA116">E8/X116</f>
        <v>47.2222222222222</v>
      </c>
      <c r="AB116" s="317"/>
    </row>
    <row r="117" ht="31.25" customHeight="1">
      <c r="R117" s="318">
        <v>41</v>
      </c>
      <c r="S117" t="s" s="319">
        <v>412</v>
      </c>
      <c r="T117" t="s" s="319">
        <v>413</v>
      </c>
      <c r="U117" t="s" s="320">
        <v>358</v>
      </c>
      <c r="V117" t="s" s="321">
        <v>25</v>
      </c>
      <c r="W117" t="s" s="325">
        <v>25</v>
      </c>
      <c r="X117" s="313">
        <v>10</v>
      </c>
      <c r="Y117" s="314" cm="1">
        <f t="array" ref="Y117">AJ176+AT234+BD292+BN350+BX407</f>
        <v>4</v>
      </c>
      <c r="Z117" s="315" cm="1">
        <f t="array" ref="Z117">AL176+AV234+BF292+BP350+BZ407</f>
        <v>0</v>
      </c>
      <c r="AA117" s="316" cm="1">
        <f t="array" ref="AA117">600/X117</f>
        <v>60</v>
      </c>
      <c r="AB117" s="317"/>
    </row>
    <row r="118" ht="31.25" customHeight="1">
      <c r="R118" s="318">
        <v>42</v>
      </c>
      <c r="S118" t="s" s="319">
        <v>414</v>
      </c>
      <c r="T118" t="s" s="319">
        <v>415</v>
      </c>
      <c r="U118" t="s" s="320">
        <v>359</v>
      </c>
      <c r="V118" t="s" s="321">
        <v>25</v>
      </c>
      <c r="W118" t="s" s="325">
        <v>25</v>
      </c>
      <c r="X118" s="313">
        <v>13</v>
      </c>
      <c r="Y118" s="314" cm="1">
        <f t="array" ref="Y118">AJ177+AT235+BD293+BN351+BX408</f>
        <v>1</v>
      </c>
      <c r="Z118" s="315" cm="1">
        <f t="array" ref="Z118">AL177+AV235+BF293+BP351+BZ408</f>
        <v>0</v>
      </c>
      <c r="AA118" s="316" cm="1">
        <f t="array" ref="AA118">600/X118</f>
        <v>46.1538461538462</v>
      </c>
      <c r="AB118" s="317"/>
    </row>
    <row r="119" ht="31.25" customHeight="1">
      <c r="R119" s="318">
        <v>43</v>
      </c>
      <c r="S119" t="s" s="319">
        <v>416</v>
      </c>
      <c r="T119" t="s" s="319">
        <v>417</v>
      </c>
      <c r="U119" t="s" s="320">
        <v>360</v>
      </c>
      <c r="V119" t="s" s="321">
        <v>25</v>
      </c>
      <c r="W119" t="s" s="325">
        <v>25</v>
      </c>
      <c r="X119" s="313">
        <v>5</v>
      </c>
      <c r="Y119" s="314" cm="1">
        <f t="array" ref="Y119">AJ178+AT236+BD294+BN352+BX409</f>
        <v>1</v>
      </c>
      <c r="Z119" s="315" cm="1">
        <f t="array" ref="Z119">AL178+AV236+BF294+BP352+BZ409</f>
        <v>0</v>
      </c>
      <c r="AA119" s="316" cm="1">
        <f t="array" ref="AA119">E64/X119</f>
        <v>270</v>
      </c>
      <c r="AB119" s="317"/>
    </row>
    <row r="120" ht="31.25" customHeight="1">
      <c r="R120" s="318">
        <v>44</v>
      </c>
      <c r="S120" t="s" s="319">
        <v>418</v>
      </c>
      <c r="T120" t="s" s="324">
        <v>419</v>
      </c>
      <c r="U120" t="s" s="320">
        <v>363</v>
      </c>
      <c r="V120" t="s" s="321">
        <v>25</v>
      </c>
      <c r="W120" t="s" s="326">
        <v>25</v>
      </c>
      <c r="X120" s="313">
        <v>10</v>
      </c>
      <c r="Y120" s="314" cm="1">
        <f t="array" ref="Y120">AJ179+AT237+BD295+BN353+BX410</f>
        <v>3</v>
      </c>
      <c r="Z120" s="315" cm="1">
        <f t="array" ref="Z120">AL179+AV237+BF295+BP353+BZ410</f>
        <v>0</v>
      </c>
      <c r="AA120" s="316" cm="1">
        <f t="array" ref="AA120">E72/Y120</f>
        <v>450</v>
      </c>
      <c r="AB120" s="317"/>
    </row>
    <row r="121" ht="49.85" customHeight="1">
      <c r="R121" s="318">
        <v>45</v>
      </c>
      <c r="S121" t="s" s="319">
        <v>420</v>
      </c>
      <c r="T121" s="324"/>
      <c r="U121" t="s" s="320">
        <v>355</v>
      </c>
      <c r="V121" t="s" s="321">
        <v>25</v>
      </c>
      <c r="W121" t="s" s="326">
        <v>25</v>
      </c>
      <c r="X121" s="313">
        <v>7</v>
      </c>
      <c r="Y121" s="314" cm="1">
        <f t="array" ref="Y121">AJ180+AT238+BD296+BN354+BX411</f>
        <v>9</v>
      </c>
      <c r="Z121" s="315" cm="1">
        <f t="array" ref="Z121">AL180+AV238+BF296+BP354+BZ411</f>
        <v>0</v>
      </c>
      <c r="AA121" s="316" cm="1">
        <f t="array" ref="AA121">E73/Y121</f>
        <v>133.333333333333</v>
      </c>
      <c r="AB121" s="317"/>
    </row>
    <row r="122" ht="31.25" customHeight="1">
      <c r="R122" s="318">
        <v>46</v>
      </c>
      <c r="S122" t="s" s="319">
        <v>421</v>
      </c>
      <c r="T122" s="324"/>
      <c r="U122" t="s" s="320">
        <v>357</v>
      </c>
      <c r="V122" t="s" s="321">
        <v>25</v>
      </c>
      <c r="W122" t="s" s="326">
        <v>25</v>
      </c>
      <c r="X122" s="313">
        <v>1</v>
      </c>
      <c r="Y122" s="314" cm="1">
        <f t="array" ref="Y122">AJ181+AT239+BD297+BN355+BX412</f>
        <v>0</v>
      </c>
      <c r="Z122" s="315" cm="1">
        <f t="array" ref="Z122">AL181+AV239+BF297+BP355+BZ412</f>
        <v>0</v>
      </c>
      <c r="AA122" s="316" cm="1">
        <f t="array" ref="AA122">E70/Y122</f>
      </c>
      <c r="AB122" s="317"/>
    </row>
    <row r="123" ht="31.25" customHeight="1">
      <c r="R123" s="318">
        <v>47</v>
      </c>
      <c r="S123" t="s" s="319">
        <v>422</v>
      </c>
      <c r="T123" s="324"/>
      <c r="U123" t="s" s="320">
        <v>365</v>
      </c>
      <c r="V123" t="s" s="321">
        <v>25</v>
      </c>
      <c r="W123" t="s" s="326">
        <v>25</v>
      </c>
      <c r="X123" s="313">
        <v>0</v>
      </c>
      <c r="Y123" s="314" cm="1">
        <f t="array" ref="Y123">AJ182+AT240+BD298+BN356+BX413</f>
        <v>7</v>
      </c>
      <c r="Z123" s="315" cm="1">
        <f t="array" ref="Z123">AL182+AV240+BF298+BP356+BZ413</f>
        <v>0</v>
      </c>
      <c r="AA123" s="316" cm="1">
        <f t="array" ref="AA123">E13/Y123</f>
        <v>221.428571428571</v>
      </c>
      <c r="AB123" s="317"/>
    </row>
    <row r="124" ht="31.25" customHeight="1">
      <c r="R124" s="318">
        <v>48</v>
      </c>
      <c r="S124" t="s" s="319">
        <v>423</v>
      </c>
      <c r="T124" s="324"/>
      <c r="U124" t="s" s="320">
        <v>368</v>
      </c>
      <c r="V124" t="s" s="321">
        <v>25</v>
      </c>
      <c r="W124" t="s" s="326">
        <v>25</v>
      </c>
      <c r="X124" s="313">
        <v>0</v>
      </c>
      <c r="Y124" s="314" cm="1">
        <f t="array" ref="Y124">AJ183+AT241+BD299+BN357+BX414</f>
        <v>26</v>
      </c>
      <c r="Z124" s="315" cm="1">
        <f t="array" ref="Z124">AL183+AV241+BF299+BP357+BZ414</f>
        <v>0</v>
      </c>
      <c r="AA124" s="316" cm="1">
        <f t="array" ref="AA124">E14/Y124</f>
        <v>51.9230769230769</v>
      </c>
      <c r="AB124" s="317"/>
    </row>
    <row r="125" ht="31.25" customHeight="1">
      <c r="R125" s="318">
        <v>49</v>
      </c>
      <c r="S125" t="s" s="319">
        <v>424</v>
      </c>
      <c r="T125" s="324"/>
      <c r="U125" t="s" s="320">
        <v>371</v>
      </c>
      <c r="V125" t="s" s="321">
        <v>25</v>
      </c>
      <c r="W125" t="s" s="326">
        <v>25</v>
      </c>
      <c r="X125" s="313">
        <v>0</v>
      </c>
      <c r="Y125" s="314" cm="1">
        <f t="array" ref="Y125">AJ184+AT242+BD300+BN358+BX415</f>
        <v>27</v>
      </c>
      <c r="Z125" s="315" cm="1">
        <f t="array" ref="Z125">AL184+AV242+BF300+BP358+BZ415</f>
        <v>0</v>
      </c>
      <c r="AA125" s="316" cm="1">
        <f t="array" ref="AA125">E15/Y125</f>
        <v>50</v>
      </c>
      <c r="AB125" s="317"/>
    </row>
    <row r="126" ht="31.25" customHeight="1">
      <c r="R126" s="318">
        <v>50</v>
      </c>
      <c r="S126" t="s" s="319">
        <v>465</v>
      </c>
      <c r="T126" s="324"/>
      <c r="U126" t="s" s="320">
        <v>437</v>
      </c>
      <c r="V126" t="s" s="321">
        <v>25</v>
      </c>
      <c r="W126" t="s" s="326">
        <v>25</v>
      </c>
      <c r="X126" t="s" s="325">
        <v>25</v>
      </c>
      <c r="Y126" s="314" cm="1">
        <f t="array" ref="Y126">AJ185+AT243+BD301+BN359+BX416</f>
        <v>9</v>
      </c>
      <c r="Z126" s="315" cm="1">
        <f t="array" ref="Z126">AL185+AV243+BF301+BP359+BZ416</f>
        <v>0</v>
      </c>
      <c r="AA126" s="316" cm="1">
        <f t="array" ref="AA126">E16/Y126</f>
        <v>55.5555555555556</v>
      </c>
      <c r="AB126" s="317"/>
    </row>
    <row r="127" ht="31.25" customHeight="1">
      <c r="R127" s="318">
        <v>51</v>
      </c>
      <c r="S127" t="s" s="319">
        <v>466</v>
      </c>
      <c r="T127" s="324"/>
      <c r="U127" t="s" s="320">
        <v>439</v>
      </c>
      <c r="V127" t="s" s="321">
        <v>25</v>
      </c>
      <c r="W127" t="s" s="326">
        <v>25</v>
      </c>
      <c r="X127" t="s" s="325">
        <v>25</v>
      </c>
      <c r="Y127" s="314" cm="1">
        <f t="array" ref="Y127">AJ186+AT244+BD302+BN360+BX417</f>
        <v>4</v>
      </c>
      <c r="Z127" s="315" cm="1">
        <f t="array" ref="Z127">AL186+AV244+BF302+BP360+BZ417</f>
        <v>0</v>
      </c>
      <c r="AA127" s="316" cm="1">
        <f t="array" ref="AA127">E17/Y127</f>
        <v>150</v>
      </c>
      <c r="AB127" s="317"/>
    </row>
    <row r="128" ht="31.25" customHeight="1">
      <c r="R128" s="318">
        <v>52</v>
      </c>
      <c r="S128" t="s" s="319">
        <v>467</v>
      </c>
      <c r="T128" s="324"/>
      <c r="U128" t="s" s="320">
        <v>444</v>
      </c>
      <c r="V128" t="s" s="321">
        <v>25</v>
      </c>
      <c r="W128" t="s" s="326">
        <v>25</v>
      </c>
      <c r="X128" t="s" s="325">
        <v>25</v>
      </c>
      <c r="Y128" s="314" cm="1">
        <f t="array" ref="Y128">AJ187+AT245+BD303+BN361+BX418</f>
        <v>3</v>
      </c>
      <c r="Z128" s="315" cm="1">
        <f t="array" ref="Z128">AL187+AV245+BF303+BP361+BZ418</f>
        <v>0</v>
      </c>
      <c r="AA128" s="316" cm="1">
        <f t="array" ref="AA128">E19/Y128</f>
        <v>250</v>
      </c>
      <c r="AB128" s="317"/>
    </row>
    <row r="129" ht="31.25" customHeight="1">
      <c r="R129" s="309">
        <v>53</v>
      </c>
      <c r="S129" t="s" s="310">
        <v>468</v>
      </c>
      <c r="T129" s="310"/>
      <c r="U129" t="s" s="311">
        <v>469</v>
      </c>
      <c r="V129" t="s" s="321">
        <v>25</v>
      </c>
      <c r="W129" t="s" s="326">
        <v>25</v>
      </c>
      <c r="X129" t="s" s="325">
        <v>25</v>
      </c>
      <c r="Y129" s="314" cm="1">
        <f t="array" ref="Y129">AJ151+AT209+BD267+BN325+BX382</f>
        <v>2</v>
      </c>
      <c r="Z129" s="427"/>
      <c r="AA129" s="316" cm="1">
        <f t="array" ref="AA129">E12/Y129</f>
        <v>497.5</v>
      </c>
      <c r="AB129" s="317"/>
    </row>
    <row r="130" ht="37.5" customHeight="1">
      <c r="R130" s="319"/>
      <c r="S130" s="319"/>
      <c r="T130" s="319"/>
      <c r="U130" t="s" s="320">
        <v>102</v>
      </c>
      <c r="V130" t="s" s="312">
        <v>25</v>
      </c>
      <c r="W130" s="313">
        <v>20</v>
      </c>
      <c r="X130" s="313">
        <v>15</v>
      </c>
      <c r="Y130" s="314" cm="1">
        <f t="array" ref="Y130">AJ188+AT246+BD304+BN362+BX419</f>
        <v>7</v>
      </c>
      <c r="Z130" s="315" cm="1">
        <f t="array" ref="Z130">AL176+AV234+BF292+BP350+BZ407</f>
        <v>0</v>
      </c>
      <c r="AA130" s="316"/>
      <c r="AB130" s="317"/>
    </row>
    <row r="131" ht="37.5" customHeight="1">
      <c r="R131" s="319"/>
      <c r="S131" s="319"/>
      <c r="T131" s="319"/>
      <c r="U131" t="s" s="320">
        <v>102</v>
      </c>
      <c r="V131" t="s" s="312">
        <v>25</v>
      </c>
      <c r="W131" t="s" s="325">
        <v>25</v>
      </c>
      <c r="X131" t="s" s="325">
        <v>25</v>
      </c>
      <c r="Y131" s="314" cm="1">
        <f t="array" ref="Y131">AJ189+AT247+BD305+BN363+BX420</f>
        <v>0</v>
      </c>
      <c r="Z131" s="427"/>
      <c r="AA131" s="316"/>
      <c r="AB131" s="317"/>
    </row>
    <row r="132" ht="37.5" customHeight="1">
      <c r="R132" s="319"/>
      <c r="S132" s="319"/>
      <c r="T132" s="319"/>
      <c r="U132" t="s" s="320">
        <v>30</v>
      </c>
      <c r="V132" s="327">
        <v>160</v>
      </c>
      <c r="W132" s="313" cm="1">
        <f t="array" ref="W132">SUM(W77:W130)</f>
        <v>269</v>
      </c>
      <c r="X132" s="313">
        <v>328</v>
      </c>
      <c r="Y132" s="313" cm="1">
        <f t="array" ref="Y132">SUM(Y77:Y130)</f>
        <v>264</v>
      </c>
      <c r="Z132" s="313" cm="1">
        <f t="array" ref="Z132">SUM(Z77:Z130)</f>
        <v>4</v>
      </c>
      <c r="AA132" s="328" cm="1">
        <f t="array" ref="AA132">SUM(AA77:AA130)</f>
      </c>
      <c r="AB132" s="329" cm="1">
        <f t="array" ref="AB132">SUM(AB77:AB130)</f>
        <v>0</v>
      </c>
    </row>
    <row r="134" ht="27.65" customHeight="1">
      <c r="AC134" t="s" s="2">
        <v>72</v>
      </c>
      <c r="AD134" s="2"/>
      <c r="AE134" s="2"/>
      <c r="AF134" s="2"/>
      <c r="AG134" s="2"/>
      <c r="AH134" s="2"/>
      <c r="AI134" s="2"/>
      <c r="AJ134" s="2"/>
      <c r="AK134" s="2"/>
      <c r="AL134" s="2"/>
    </row>
    <row r="135" ht="40.15" customHeight="1">
      <c r="AC135" s="331"/>
      <c r="AD135" s="429"/>
      <c r="AE135" s="331"/>
      <c r="AF135" t="s" s="249">
        <v>470</v>
      </c>
      <c r="AG135" t="s" s="249">
        <v>471</v>
      </c>
      <c r="AH135" t="s" s="249">
        <v>472</v>
      </c>
      <c r="AI135" t="s" s="249">
        <v>473</v>
      </c>
      <c r="AJ135" t="s" s="249">
        <v>53</v>
      </c>
      <c r="AK135" t="s" s="249">
        <v>67</v>
      </c>
      <c r="AL135" t="s" s="249">
        <v>160</v>
      </c>
    </row>
    <row r="136" ht="29.5" customHeight="1">
      <c r="AC136" t="s" s="333">
        <v>35</v>
      </c>
      <c r="AD136" s="430"/>
      <c r="AE136" s="336"/>
      <c r="AF136" s="336"/>
      <c r="AG136" s="336"/>
      <c r="AH136" s="336"/>
      <c r="AI136" s="336"/>
      <c r="AJ136" s="337" cm="1">
        <f t="array" ref="AJ136">SUM(AD136:AI136)</f>
        <v>0</v>
      </c>
      <c r="AK136" s="338"/>
      <c r="AL136" s="338"/>
    </row>
    <row r="137" ht="29.2" customHeight="1">
      <c r="AC137" t="s" s="264">
        <v>47</v>
      </c>
      <c r="AD137" s="286"/>
      <c r="AE137" s="287"/>
      <c r="AF137" s="287"/>
      <c r="AG137" s="287"/>
      <c r="AH137" s="287"/>
      <c r="AI137" s="287"/>
      <c r="AJ137" s="340" cm="1">
        <f t="array" ref="AJ137">SUM(AD137:AI137)</f>
        <v>0</v>
      </c>
      <c r="AK137" s="259"/>
      <c r="AL137" s="259"/>
    </row>
    <row r="138" ht="29.2" customHeight="1">
      <c r="AC138" t="s" s="341">
        <v>10</v>
      </c>
      <c r="AD138" s="286"/>
      <c r="AE138" s="287"/>
      <c r="AF138" s="287"/>
      <c r="AG138" s="343">
        <v>1</v>
      </c>
      <c r="AH138" s="287"/>
      <c r="AI138" s="287"/>
      <c r="AJ138" s="340" cm="1">
        <f t="array" ref="AJ138">SUM(AD138:AI138)</f>
        <v>1</v>
      </c>
      <c r="AK138" s="259"/>
      <c r="AL138" s="259"/>
    </row>
    <row r="139" ht="29.2" customHeight="1">
      <c r="AC139" t="s" s="264">
        <v>32</v>
      </c>
      <c r="AD139" s="286"/>
      <c r="AE139" s="287"/>
      <c r="AF139" s="287"/>
      <c r="AG139" s="344"/>
      <c r="AH139" s="287"/>
      <c r="AI139" s="287"/>
      <c r="AJ139" s="340" cm="1">
        <f t="array" ref="AJ139">SUM(AD139:AI139)</f>
        <v>0</v>
      </c>
      <c r="AK139" s="259"/>
      <c r="AL139" s="340">
        <v>1</v>
      </c>
    </row>
    <row r="140" ht="29.25" customHeight="1">
      <c r="AC140" t="s" s="264">
        <v>16</v>
      </c>
      <c r="AD140" s="286"/>
      <c r="AE140" s="287"/>
      <c r="AF140" s="287"/>
      <c r="AG140" s="339">
        <v>1</v>
      </c>
      <c r="AH140" s="287"/>
      <c r="AI140" s="287"/>
      <c r="AJ140" s="340" cm="1">
        <f t="array" ref="AJ140">SUM(AD140:AI140)</f>
        <v>1</v>
      </c>
      <c r="AK140" s="259"/>
      <c r="AL140" s="259"/>
    </row>
    <row r="141" ht="29.2" customHeight="1">
      <c r="AC141" t="s" s="264">
        <v>18</v>
      </c>
      <c r="AD141" s="286"/>
      <c r="AE141" s="287"/>
      <c r="AF141" s="287"/>
      <c r="AG141" s="287"/>
      <c r="AH141" s="287"/>
      <c r="AI141" s="287"/>
      <c r="AJ141" s="340" cm="1">
        <f t="array" ref="AJ141">SUM(AD141:AI141)</f>
        <v>0</v>
      </c>
      <c r="AK141" s="259"/>
      <c r="AL141" s="259"/>
    </row>
    <row r="142" ht="29.2" customHeight="1">
      <c r="AC142" t="s" s="264">
        <v>287</v>
      </c>
      <c r="AD142" s="286"/>
      <c r="AE142" s="287"/>
      <c r="AF142" s="287"/>
      <c r="AG142" s="287"/>
      <c r="AH142" s="287"/>
      <c r="AI142" s="287"/>
      <c r="AJ142" s="340" cm="1">
        <f t="array" ref="AJ142">SUM(AD142:AI142)</f>
        <v>0</v>
      </c>
      <c r="AK142" s="259"/>
      <c r="AL142" s="259"/>
    </row>
    <row r="143" ht="25.2" customHeight="1">
      <c r="AC143" t="s" s="264">
        <v>45</v>
      </c>
      <c r="AD143" s="286"/>
      <c r="AE143" s="287"/>
      <c r="AF143" s="287"/>
      <c r="AG143" s="287"/>
      <c r="AH143" s="287"/>
      <c r="AI143" s="287"/>
      <c r="AJ143" s="340" cm="1">
        <f t="array" ref="AJ143">SUM(AD143:AI143)</f>
        <v>0</v>
      </c>
      <c r="AK143" s="259"/>
      <c r="AL143" s="259"/>
    </row>
    <row r="144" ht="29.2" customHeight="1">
      <c r="AC144" t="s" s="264">
        <v>154</v>
      </c>
      <c r="AD144" s="286"/>
      <c r="AE144" s="287"/>
      <c r="AF144" s="287"/>
      <c r="AG144" s="287"/>
      <c r="AH144" s="287"/>
      <c r="AI144" s="287"/>
      <c r="AJ144" s="340" cm="1">
        <f t="array" ref="AJ144">SUM(AD144:AI144)</f>
        <v>0</v>
      </c>
      <c r="AK144" s="259"/>
      <c r="AL144" s="259"/>
    </row>
    <row r="145" ht="29.2" customHeight="1">
      <c r="AC145" t="s" s="264">
        <v>257</v>
      </c>
      <c r="AD145" s="286"/>
      <c r="AE145" s="287"/>
      <c r="AF145" s="339">
        <v>1</v>
      </c>
      <c r="AG145" s="339">
        <v>1</v>
      </c>
      <c r="AH145" s="339">
        <v>1</v>
      </c>
      <c r="AI145" s="287"/>
      <c r="AJ145" s="340" cm="1">
        <f t="array" ref="AJ145">SUM(AD145:AI145)</f>
        <v>3</v>
      </c>
      <c r="AK145" s="259"/>
      <c r="AL145" s="259"/>
    </row>
    <row r="146" ht="29.2" customHeight="1">
      <c r="AC146" t="s" s="264">
        <v>391</v>
      </c>
      <c r="AD146" s="286"/>
      <c r="AE146" s="287"/>
      <c r="AF146" s="287"/>
      <c r="AG146" s="344"/>
      <c r="AH146" s="287"/>
      <c r="AI146" s="287"/>
      <c r="AJ146" s="340" cm="1">
        <f t="array" ref="AJ146">SUM(AD146:AI146)</f>
        <v>0</v>
      </c>
      <c r="AK146" s="259"/>
      <c r="AL146" s="259"/>
    </row>
    <row r="147" ht="29.2" customHeight="1">
      <c r="AC147" t="s" s="264">
        <v>393</v>
      </c>
      <c r="AD147" s="286"/>
      <c r="AE147" s="287"/>
      <c r="AF147" s="287"/>
      <c r="AG147" s="344"/>
      <c r="AH147" s="287"/>
      <c r="AI147" s="287"/>
      <c r="AJ147" s="340" cm="1">
        <f t="array" ref="AJ147">SUM(AD147:AI147)</f>
        <v>0</v>
      </c>
      <c r="AK147" s="259"/>
      <c r="AL147" s="259"/>
    </row>
    <row r="148" ht="29.2" customHeight="1">
      <c r="AC148" t="s" s="264">
        <v>395</v>
      </c>
      <c r="AD148" s="286"/>
      <c r="AE148" s="287"/>
      <c r="AF148" s="287"/>
      <c r="AG148" s="287"/>
      <c r="AH148" s="287"/>
      <c r="AI148" s="287"/>
      <c r="AJ148" s="340" cm="1">
        <f t="array" ref="AJ148">SUM(AD148:AI148)</f>
        <v>0</v>
      </c>
      <c r="AK148" s="259"/>
      <c r="AL148" s="259"/>
    </row>
    <row r="149" ht="29.2" customHeight="1">
      <c r="AC149" t="s" s="264">
        <v>155</v>
      </c>
      <c r="AD149" s="286"/>
      <c r="AE149" s="287"/>
      <c r="AF149" s="287"/>
      <c r="AG149" s="344"/>
      <c r="AH149" s="287"/>
      <c r="AI149" s="287"/>
      <c r="AJ149" s="340" cm="1">
        <f t="array" ref="AJ149">SUM(AD149:AI149)</f>
        <v>0</v>
      </c>
      <c r="AK149" s="259"/>
      <c r="AL149" s="259"/>
    </row>
    <row r="150" ht="29.2" customHeight="1">
      <c r="AC150" t="s" s="341">
        <v>37</v>
      </c>
      <c r="AD150" s="286"/>
      <c r="AE150" s="287"/>
      <c r="AF150" s="287"/>
      <c r="AG150" s="343">
        <v>1</v>
      </c>
      <c r="AH150" s="287"/>
      <c r="AI150" s="287"/>
      <c r="AJ150" s="340" cm="1">
        <f t="array" ref="AJ150">SUM(AD150:AI150)</f>
        <v>1</v>
      </c>
      <c r="AK150" s="259"/>
      <c r="AL150" s="259"/>
    </row>
    <row r="151" ht="29.2" customHeight="1">
      <c r="AC151" t="s" s="341">
        <v>469</v>
      </c>
      <c r="AD151" s="286"/>
      <c r="AE151" s="287"/>
      <c r="AF151" s="287"/>
      <c r="AG151" s="343">
        <v>1</v>
      </c>
      <c r="AH151" s="287"/>
      <c r="AI151" s="287"/>
      <c r="AJ151" s="340" cm="1">
        <f t="array" ref="AJ151">SUM(AD151:AI151)</f>
        <v>1</v>
      </c>
      <c r="AK151" s="259"/>
      <c r="AL151" s="259"/>
    </row>
    <row r="152" ht="29.2" customHeight="1">
      <c r="AC152" t="s" s="264">
        <v>19</v>
      </c>
      <c r="AD152" s="286"/>
      <c r="AE152" s="287"/>
      <c r="AF152" s="287"/>
      <c r="AG152" s="344"/>
      <c r="AH152" s="287"/>
      <c r="AI152" s="287"/>
      <c r="AJ152" s="340" cm="1">
        <f t="array" ref="AJ152">SUM(AD152:AI152)</f>
        <v>0</v>
      </c>
      <c r="AK152" s="259"/>
      <c r="AL152" s="259"/>
    </row>
    <row r="153" ht="29.2" customHeight="1">
      <c r="AC153" t="s" s="264">
        <v>239</v>
      </c>
      <c r="AD153" s="286"/>
      <c r="AE153" s="287"/>
      <c r="AF153" s="287"/>
      <c r="AG153" s="344"/>
      <c r="AH153" s="287"/>
      <c r="AI153" s="287"/>
      <c r="AJ153" s="340" cm="1">
        <f t="array" ref="AJ153">SUM(AD153:AI153)</f>
        <v>0</v>
      </c>
      <c r="AK153" s="259"/>
      <c r="AL153" s="259"/>
    </row>
    <row r="154" ht="29.2" customHeight="1">
      <c r="AC154" t="s" s="264">
        <v>262</v>
      </c>
      <c r="AD154" s="286"/>
      <c r="AE154" s="287"/>
      <c r="AF154" s="287"/>
      <c r="AG154" s="287"/>
      <c r="AH154" s="287"/>
      <c r="AI154" s="287"/>
      <c r="AJ154" s="340" cm="1">
        <f t="array" ref="AJ154">SUM(AD154:AI154)</f>
        <v>0</v>
      </c>
      <c r="AK154" s="259"/>
      <c r="AL154" s="259"/>
    </row>
    <row r="155" ht="29.2" customHeight="1">
      <c r="AC155" t="s" s="264">
        <v>265</v>
      </c>
      <c r="AD155" s="286"/>
      <c r="AE155" s="287"/>
      <c r="AF155" s="339">
        <v>1</v>
      </c>
      <c r="AG155" s="339">
        <v>1</v>
      </c>
      <c r="AH155" s="287"/>
      <c r="AI155" s="287"/>
      <c r="AJ155" s="340" cm="1">
        <f t="array" ref="AJ155">SUM(AD155:AI155)</f>
        <v>2</v>
      </c>
      <c r="AK155" s="287"/>
      <c r="AL155" s="431">
        <v>2</v>
      </c>
    </row>
    <row r="156" ht="27.2" customHeight="1">
      <c r="AC156" t="s" s="264">
        <v>250</v>
      </c>
      <c r="AD156" s="286"/>
      <c r="AE156" s="287"/>
      <c r="AF156" s="339">
        <v>1</v>
      </c>
      <c r="AG156" s="339">
        <v>1</v>
      </c>
      <c r="AH156" s="339">
        <v>1</v>
      </c>
      <c r="AI156" s="287"/>
      <c r="AJ156" s="340" cm="1">
        <f t="array" ref="AJ156">SUM(AD156:AI156)</f>
        <v>3</v>
      </c>
      <c r="AK156" s="287"/>
      <c r="AL156" s="287"/>
    </row>
    <row r="157" ht="29.2" customHeight="1">
      <c r="AC157" t="s" s="264">
        <v>268</v>
      </c>
      <c r="AD157" s="286"/>
      <c r="AE157" s="287"/>
      <c r="AF157" s="287"/>
      <c r="AG157" s="344"/>
      <c r="AH157" s="287"/>
      <c r="AI157" s="287"/>
      <c r="AJ157" s="340" cm="1">
        <f t="array" ref="AJ157">SUM(AD157:AI157)</f>
        <v>0</v>
      </c>
      <c r="AK157" s="287"/>
      <c r="AL157" s="287"/>
    </row>
    <row r="158" ht="29.2" customHeight="1">
      <c r="AC158" t="s" s="264">
        <v>156</v>
      </c>
      <c r="AD158" s="286"/>
      <c r="AE158" s="287"/>
      <c r="AF158" s="339">
        <v>1</v>
      </c>
      <c r="AG158" s="287"/>
      <c r="AH158" s="287"/>
      <c r="AI158" s="287"/>
      <c r="AJ158" s="340" cm="1">
        <f t="array" ref="AJ158">SUM(AD158:AI158)</f>
        <v>1</v>
      </c>
      <c r="AK158" s="259"/>
      <c r="AL158" s="259"/>
    </row>
    <row r="159" ht="29.2" customHeight="1">
      <c r="AC159" t="s" s="264">
        <v>259</v>
      </c>
      <c r="AD159" s="286"/>
      <c r="AE159" s="287"/>
      <c r="AF159" s="287"/>
      <c r="AG159" s="344"/>
      <c r="AH159" s="287"/>
      <c r="AI159" s="287"/>
      <c r="AJ159" s="340" cm="1">
        <f t="array" ref="AJ159">SUM(AD159:AI159)</f>
        <v>0</v>
      </c>
      <c r="AK159" s="259"/>
      <c r="AL159" s="259"/>
    </row>
    <row r="160" ht="29.2" customHeight="1">
      <c r="AC160" t="s" s="264">
        <v>274</v>
      </c>
      <c r="AD160" s="286"/>
      <c r="AE160" s="287"/>
      <c r="AF160" s="287"/>
      <c r="AG160" s="344"/>
      <c r="AH160" s="287"/>
      <c r="AI160" s="287"/>
      <c r="AJ160" s="340" cm="1">
        <f t="array" ref="AJ160">SUM(AD160:AI160)</f>
        <v>0</v>
      </c>
      <c r="AK160" s="259"/>
      <c r="AL160" s="259"/>
    </row>
    <row r="161" ht="29.2" customHeight="1">
      <c r="AC161" t="s" s="264">
        <v>48</v>
      </c>
      <c r="AD161" s="286"/>
      <c r="AE161" s="287"/>
      <c r="AF161" s="392">
        <v>1</v>
      </c>
      <c r="AG161" s="344"/>
      <c r="AH161" s="287"/>
      <c r="AI161" s="287"/>
      <c r="AJ161" s="340" cm="1">
        <f t="array" ref="AJ161">SUM(AD161:AI161)</f>
        <v>1</v>
      </c>
      <c r="AK161" s="259"/>
      <c r="AL161" s="259"/>
    </row>
    <row r="162" ht="29.2" customHeight="1">
      <c r="AC162" t="s" s="264">
        <v>49</v>
      </c>
      <c r="AD162" s="286"/>
      <c r="AE162" s="287"/>
      <c r="AF162" s="392">
        <v>1</v>
      </c>
      <c r="AG162" s="344"/>
      <c r="AH162" s="287"/>
      <c r="AI162" s="287"/>
      <c r="AJ162" s="340" cm="1">
        <f t="array" ref="AJ162">SUM(AD162:AI162)</f>
        <v>1</v>
      </c>
      <c r="AK162" s="259"/>
      <c r="AL162" s="259"/>
    </row>
    <row r="163" ht="29.2" customHeight="1">
      <c r="AC163" t="s" s="264">
        <v>50</v>
      </c>
      <c r="AD163" s="286"/>
      <c r="AE163" s="287"/>
      <c r="AF163" s="339">
        <v>2</v>
      </c>
      <c r="AG163" s="287"/>
      <c r="AH163" s="339">
        <v>1</v>
      </c>
      <c r="AI163" s="287"/>
      <c r="AJ163" s="340" cm="1">
        <f t="array" ref="AJ163">SUM(AD163:AI163)</f>
        <v>3</v>
      </c>
      <c r="AK163" s="259"/>
      <c r="AL163" s="259"/>
    </row>
    <row r="164" ht="29.2" customHeight="1">
      <c r="AC164" t="s" s="264">
        <v>51</v>
      </c>
      <c r="AD164" s="286"/>
      <c r="AE164" s="287"/>
      <c r="AF164" s="339">
        <v>1</v>
      </c>
      <c r="AG164" s="344"/>
      <c r="AH164" s="287"/>
      <c r="AI164" s="287"/>
      <c r="AJ164" s="340" cm="1">
        <f t="array" ref="AJ164">SUM(AD164:AI164)</f>
        <v>1</v>
      </c>
      <c r="AK164" s="259"/>
      <c r="AL164" s="259"/>
    </row>
    <row r="165" ht="29.2" customHeight="1">
      <c r="AC165" t="s" s="264">
        <v>52</v>
      </c>
      <c r="AD165" s="286"/>
      <c r="AE165" s="287"/>
      <c r="AF165" s="339">
        <v>1</v>
      </c>
      <c r="AG165" s="287"/>
      <c r="AH165" s="339">
        <v>1</v>
      </c>
      <c r="AI165" s="287"/>
      <c r="AJ165" s="340" cm="1">
        <f t="array" ref="AJ165">SUM(AD165:AI165)</f>
        <v>2</v>
      </c>
      <c r="AK165" s="259"/>
      <c r="AL165" s="259"/>
    </row>
    <row r="166" ht="29.2" customHeight="1">
      <c r="AC166" t="s" s="264">
        <v>115</v>
      </c>
      <c r="AD166" s="286"/>
      <c r="AE166" s="287"/>
      <c r="AF166" s="392">
        <v>1</v>
      </c>
      <c r="AG166" s="344"/>
      <c r="AH166" s="287"/>
      <c r="AI166" s="287"/>
      <c r="AJ166" s="340" cm="1">
        <f t="array" ref="AJ166">SUM(AD166:AI166)</f>
        <v>1</v>
      </c>
      <c r="AK166" s="340">
        <v>1</v>
      </c>
      <c r="AL166" s="259"/>
    </row>
    <row r="167" ht="29.2" customHeight="1">
      <c r="AC167" t="s" s="264">
        <v>197</v>
      </c>
      <c r="AD167" s="286"/>
      <c r="AE167" s="287"/>
      <c r="AF167" s="287"/>
      <c r="AG167" s="344"/>
      <c r="AH167" s="287"/>
      <c r="AI167" s="287"/>
      <c r="AJ167" s="340" cm="1">
        <f t="array" ref="AJ167">SUM(AD167:AI167)</f>
        <v>0</v>
      </c>
      <c r="AK167" s="259"/>
      <c r="AL167" s="259"/>
    </row>
    <row r="168" ht="29.2" customHeight="1">
      <c r="AC168" t="s" s="264">
        <v>46</v>
      </c>
      <c r="AD168" s="286"/>
      <c r="AE168" s="287"/>
      <c r="AF168" s="287"/>
      <c r="AG168" s="344"/>
      <c r="AH168" s="287"/>
      <c r="AI168" s="287"/>
      <c r="AJ168" s="340" cm="1">
        <f t="array" ref="AJ168">SUM(AD168:AI168)</f>
        <v>0</v>
      </c>
      <c r="AK168" s="259"/>
      <c r="AL168" s="259"/>
    </row>
    <row r="169" ht="29.2" customHeight="1">
      <c r="AC169" t="s" s="264">
        <v>191</v>
      </c>
      <c r="AD169" s="286"/>
      <c r="AE169" s="287"/>
      <c r="AF169" s="287"/>
      <c r="AG169" s="344"/>
      <c r="AH169" s="287"/>
      <c r="AI169" s="287"/>
      <c r="AJ169" s="340" cm="1">
        <f t="array" ref="AJ169">SUM(AD169:AI169)</f>
        <v>0</v>
      </c>
      <c r="AK169" s="259"/>
      <c r="AL169" s="259"/>
    </row>
    <row r="170" ht="29.2" customHeight="1">
      <c r="AC170" t="s" s="264">
        <v>109</v>
      </c>
      <c r="AD170" s="286"/>
      <c r="AE170" s="287"/>
      <c r="AF170" s="339">
        <v>1</v>
      </c>
      <c r="AG170" s="287"/>
      <c r="AH170" s="287"/>
      <c r="AI170" s="287"/>
      <c r="AJ170" s="340" cm="1">
        <f t="array" ref="AJ170">SUM(AD170:AI170)</f>
        <v>1</v>
      </c>
      <c r="AK170" s="259"/>
      <c r="AL170" s="259"/>
    </row>
    <row r="171" ht="29.2" customHeight="1">
      <c r="AC171" t="s" s="264">
        <v>270</v>
      </c>
      <c r="AD171" s="286"/>
      <c r="AE171" s="287"/>
      <c r="AF171" s="287"/>
      <c r="AG171" s="344"/>
      <c r="AH171" s="287"/>
      <c r="AI171" s="287"/>
      <c r="AJ171" s="340" cm="1">
        <f t="array" ref="AJ171">SUM(AD171:AI171)</f>
        <v>0</v>
      </c>
      <c r="AK171" s="259"/>
      <c r="AL171" s="259"/>
    </row>
    <row r="172" ht="29.2" customHeight="1">
      <c r="AC172" t="s" s="264">
        <v>272</v>
      </c>
      <c r="AD172" s="286"/>
      <c r="AE172" s="287"/>
      <c r="AF172" s="287"/>
      <c r="AG172" s="344"/>
      <c r="AH172" s="287"/>
      <c r="AI172" s="287"/>
      <c r="AJ172" s="340" cm="1">
        <f t="array" ref="AJ172">SUM(AD172:AI172)</f>
        <v>0</v>
      </c>
      <c r="AK172" s="259"/>
      <c r="AL172" s="259"/>
    </row>
    <row r="173" ht="29.2" customHeight="1">
      <c r="AC173" t="s" s="264">
        <v>319</v>
      </c>
      <c r="AD173" s="286"/>
      <c r="AE173" s="287"/>
      <c r="AF173" s="287"/>
      <c r="AG173" s="287"/>
      <c r="AH173" s="287"/>
      <c r="AI173" s="287"/>
      <c r="AJ173" s="340" cm="1">
        <f t="array" ref="AJ173">SUM(AD173:AI173)</f>
        <v>0</v>
      </c>
      <c r="AK173" s="259"/>
      <c r="AL173" s="259"/>
    </row>
    <row r="174" ht="29.2" customHeight="1">
      <c r="AC174" t="s" s="264">
        <v>352</v>
      </c>
      <c r="AD174" s="286"/>
      <c r="AE174" s="287"/>
      <c r="AF174" s="339">
        <v>1</v>
      </c>
      <c r="AG174" s="287"/>
      <c r="AH174" s="339">
        <v>1</v>
      </c>
      <c r="AI174" s="287"/>
      <c r="AJ174" s="340" cm="1">
        <f t="array" ref="AJ174">SUM(AD174:AI174)</f>
        <v>2</v>
      </c>
      <c r="AK174" s="259"/>
      <c r="AL174" s="259"/>
    </row>
    <row r="175" ht="29.2" customHeight="1">
      <c r="AC175" t="s" s="264">
        <v>349</v>
      </c>
      <c r="AD175" s="286"/>
      <c r="AE175" s="287"/>
      <c r="AF175" s="287"/>
      <c r="AG175" s="287"/>
      <c r="AH175" s="287"/>
      <c r="AI175" s="287"/>
      <c r="AJ175" s="340" cm="1">
        <f t="array" ref="AJ175">SUM(AD175:AI175)</f>
        <v>0</v>
      </c>
      <c r="AK175" s="259"/>
      <c r="AL175" s="259"/>
    </row>
    <row r="176" ht="29.2" customHeight="1">
      <c r="AC176" t="s" s="264">
        <v>358</v>
      </c>
      <c r="AD176" s="286"/>
      <c r="AE176" s="287"/>
      <c r="AF176" s="287"/>
      <c r="AG176" s="344"/>
      <c r="AH176" s="287"/>
      <c r="AI176" s="287"/>
      <c r="AJ176" s="340" cm="1">
        <f t="array" ref="AJ176">SUM(AD176:AI176)</f>
        <v>0</v>
      </c>
      <c r="AK176" s="259"/>
      <c r="AL176" s="259"/>
    </row>
    <row r="177" ht="29.2" customHeight="1">
      <c r="AC177" t="s" s="264">
        <v>359</v>
      </c>
      <c r="AD177" s="286"/>
      <c r="AE177" s="287"/>
      <c r="AF177" s="339">
        <v>1</v>
      </c>
      <c r="AG177" s="344"/>
      <c r="AH177" s="287"/>
      <c r="AI177" s="287"/>
      <c r="AJ177" s="340" cm="1">
        <f t="array" ref="AJ177">SUM(AD177:AI177)</f>
        <v>1</v>
      </c>
      <c r="AK177" s="259"/>
      <c r="AL177" s="259"/>
    </row>
    <row r="178" ht="29.2" customHeight="1">
      <c r="AC178" t="s" s="264">
        <v>360</v>
      </c>
      <c r="AD178" s="286"/>
      <c r="AE178" s="287"/>
      <c r="AF178" s="287"/>
      <c r="AG178" s="344"/>
      <c r="AH178" s="287"/>
      <c r="AI178" s="287"/>
      <c r="AJ178" s="340" cm="1">
        <f t="array" ref="AJ178">SUM(AD178:AI178)</f>
        <v>0</v>
      </c>
      <c r="AK178" s="259"/>
      <c r="AL178" s="259"/>
    </row>
    <row r="179" ht="29.2" customHeight="1">
      <c r="AC179" t="s" s="264">
        <v>363</v>
      </c>
      <c r="AD179" s="286"/>
      <c r="AE179" s="287"/>
      <c r="AF179" s="339">
        <v>1</v>
      </c>
      <c r="AG179" s="344"/>
      <c r="AH179" s="287"/>
      <c r="AI179" s="287"/>
      <c r="AJ179" s="340" cm="1">
        <f t="array" ref="AJ179">SUM(AD179:AI179)</f>
        <v>1</v>
      </c>
      <c r="AK179" s="259"/>
      <c r="AL179" s="259"/>
    </row>
    <row r="180" ht="29.2" customHeight="1">
      <c r="AC180" t="s" s="264">
        <v>355</v>
      </c>
      <c r="AD180" s="286"/>
      <c r="AE180" s="287"/>
      <c r="AF180" s="339">
        <v>1</v>
      </c>
      <c r="AG180" s="344"/>
      <c r="AH180" s="287"/>
      <c r="AI180" s="287"/>
      <c r="AJ180" s="340" cm="1">
        <f t="array" ref="AJ180">SUM(AD180:AI180)</f>
        <v>1</v>
      </c>
      <c r="AK180" s="259"/>
      <c r="AL180" s="259"/>
    </row>
    <row r="181" ht="29.2" customHeight="1">
      <c r="AC181" t="s" s="264">
        <v>357</v>
      </c>
      <c r="AD181" s="286"/>
      <c r="AE181" s="287"/>
      <c r="AF181" s="287"/>
      <c r="AG181" s="344"/>
      <c r="AH181" s="287"/>
      <c r="AI181" s="287"/>
      <c r="AJ181" s="340" cm="1">
        <f t="array" ref="AJ181">SUM(AD181:AI181)</f>
        <v>0</v>
      </c>
      <c r="AK181" s="259"/>
      <c r="AL181" s="259"/>
    </row>
    <row r="182" ht="29.2" customHeight="1">
      <c r="AC182" t="s" s="255">
        <v>365</v>
      </c>
      <c r="AD182" s="286"/>
      <c r="AE182" s="287"/>
      <c r="AF182" s="287"/>
      <c r="AG182" s="344"/>
      <c r="AH182" s="339">
        <v>1</v>
      </c>
      <c r="AI182" s="287"/>
      <c r="AJ182" s="340" cm="1">
        <f t="array" ref="AJ182">SUM(AD182:AI182)</f>
        <v>1</v>
      </c>
      <c r="AK182" s="259"/>
      <c r="AL182" s="259"/>
    </row>
    <row r="183" ht="29.2" customHeight="1">
      <c r="AC183" t="s" s="264">
        <v>368</v>
      </c>
      <c r="AD183" s="286"/>
      <c r="AE183" s="287"/>
      <c r="AF183" s="339">
        <v>1</v>
      </c>
      <c r="AG183" s="344"/>
      <c r="AH183" s="287"/>
      <c r="AI183" s="339">
        <v>1</v>
      </c>
      <c r="AJ183" s="340" cm="1">
        <f t="array" ref="AJ183">SUM(AD183:AI183)</f>
        <v>2</v>
      </c>
      <c r="AK183" s="259"/>
      <c r="AL183" s="259"/>
    </row>
    <row r="184" ht="29.2" customHeight="1">
      <c r="AC184" t="s" s="264">
        <v>371</v>
      </c>
      <c r="AD184" s="286"/>
      <c r="AE184" s="287"/>
      <c r="AF184" s="339">
        <v>1</v>
      </c>
      <c r="AG184" s="344"/>
      <c r="AH184" s="339">
        <v>1</v>
      </c>
      <c r="AI184" s="339">
        <v>1</v>
      </c>
      <c r="AJ184" s="340" cm="1">
        <f t="array" ref="AJ184">SUM(AD184:AI184)</f>
        <v>3</v>
      </c>
      <c r="AK184" s="259"/>
      <c r="AL184" s="259"/>
    </row>
    <row r="185" ht="29.2" customHeight="1">
      <c r="AC185" t="s" s="264">
        <v>437</v>
      </c>
      <c r="AD185" s="286"/>
      <c r="AE185" s="287"/>
      <c r="AF185" s="287"/>
      <c r="AG185" s="344"/>
      <c r="AH185" s="287"/>
      <c r="AI185" s="287"/>
      <c r="AJ185" s="340" cm="1">
        <f t="array" ref="AJ185">SUM(AD185:AI185)</f>
        <v>0</v>
      </c>
      <c r="AK185" s="259"/>
      <c r="AL185" s="259"/>
    </row>
    <row r="186" ht="29.2" customHeight="1">
      <c r="AC186" t="s" s="264">
        <v>439</v>
      </c>
      <c r="AD186" s="286"/>
      <c r="AE186" s="287"/>
      <c r="AF186" s="287"/>
      <c r="AG186" s="344"/>
      <c r="AH186" s="287"/>
      <c r="AI186" s="287"/>
      <c r="AJ186" s="340" cm="1">
        <f t="array" ref="AJ186">SUM(AD186:AI186)</f>
        <v>0</v>
      </c>
      <c r="AK186" s="259"/>
      <c r="AL186" s="259"/>
    </row>
    <row r="187" ht="29.2" customHeight="1">
      <c r="AC187" t="s" s="264">
        <v>444</v>
      </c>
      <c r="AD187" s="286"/>
      <c r="AE187" s="287"/>
      <c r="AF187" s="287"/>
      <c r="AG187" s="344"/>
      <c r="AH187" s="287"/>
      <c r="AI187" s="287"/>
      <c r="AJ187" s="340" cm="1">
        <f t="array" ref="AJ187">SUM(AD187:AI187)</f>
        <v>0</v>
      </c>
      <c r="AK187" s="259"/>
      <c r="AL187" s="259"/>
    </row>
    <row r="188" ht="29.2" customHeight="1">
      <c r="AC188" t="s" s="264">
        <v>102</v>
      </c>
      <c r="AD188" s="286"/>
      <c r="AE188" s="287"/>
      <c r="AF188" s="339">
        <v>2</v>
      </c>
      <c r="AG188" s="339">
        <v>1</v>
      </c>
      <c r="AH188" s="339">
        <v>1</v>
      </c>
      <c r="AI188" s="287"/>
      <c r="AJ188" s="340" cm="1">
        <f t="array" ref="AJ188">SUM(AD188:AI188)</f>
        <v>4</v>
      </c>
      <c r="AK188" s="259"/>
      <c r="AL188" s="259"/>
    </row>
    <row r="189" ht="29.2" customHeight="1">
      <c r="AC189" t="s" s="264">
        <v>102</v>
      </c>
      <c r="AD189" s="286"/>
      <c r="AE189" s="287"/>
      <c r="AF189" s="287"/>
      <c r="AG189" s="287"/>
      <c r="AH189" s="287"/>
      <c r="AI189" s="287"/>
      <c r="AJ189" s="340" cm="1">
        <f t="array" ref="AJ189">SUM(AD189:AI189)</f>
        <v>0</v>
      </c>
      <c r="AK189" s="259"/>
      <c r="AL189" s="259"/>
    </row>
    <row r="190" ht="29.2" customHeight="1">
      <c r="AC190" t="s" s="349">
        <v>30</v>
      </c>
      <c r="AD190" s="350" cm="1">
        <f t="array" ref="AD190">SUM(AD136:AD188)</f>
        <v>0</v>
      </c>
      <c r="AE190" s="340" cm="1">
        <f t="array" ref="AE190">SUM(AE136:AE188)</f>
        <v>0</v>
      </c>
      <c r="AF190" s="340" cm="1">
        <f t="array" ref="AF190">SUM(AF136:AF188)</f>
        <v>20</v>
      </c>
      <c r="AG190" s="340" cm="1">
        <f t="array" ref="AG190">SUM(AG136:AG188)</f>
        <v>8</v>
      </c>
      <c r="AH190" s="340" cm="1">
        <f t="array" ref="AH190">SUM(AH136:AH188)</f>
        <v>8</v>
      </c>
      <c r="AI190" s="340" cm="1">
        <f t="array" ref="AI190">SUM(AI136:AI188)</f>
        <v>2</v>
      </c>
      <c r="AJ190" s="340" cm="1">
        <f t="array" ref="AJ190">SUM(AJ136:AJ188)</f>
        <v>38</v>
      </c>
      <c r="AK190" s="259"/>
      <c r="AL190" s="259"/>
    </row>
    <row r="192" ht="27.65" customHeight="1">
      <c r="AM192" t="s" s="2">
        <v>76</v>
      </c>
      <c r="AN192" s="2"/>
      <c r="AO192" s="2"/>
      <c r="AP192" s="2"/>
      <c r="AQ192" s="2"/>
      <c r="AR192" s="2"/>
      <c r="AS192" s="2"/>
      <c r="AT192" s="2"/>
      <c r="AU192" s="2"/>
      <c r="AV192" s="2"/>
    </row>
    <row r="193" ht="46" customHeight="1">
      <c r="AM193" s="371"/>
      <c r="AN193" t="s" s="372">
        <v>474</v>
      </c>
      <c r="AO193" t="s" s="372">
        <v>475</v>
      </c>
      <c r="AP193" t="s" s="372">
        <v>476</v>
      </c>
      <c r="AQ193" t="s" s="372">
        <v>477</v>
      </c>
      <c r="AR193" t="s" s="372">
        <v>478</v>
      </c>
      <c r="AS193" t="s" s="372">
        <v>479</v>
      </c>
      <c r="AT193" t="s" s="372">
        <v>53</v>
      </c>
      <c r="AU193" t="s" s="372">
        <v>67</v>
      </c>
      <c r="AV193" t="s" s="372">
        <v>160</v>
      </c>
    </row>
    <row r="194" ht="28.9" customHeight="1">
      <c r="AM194" t="s" s="333">
        <v>35</v>
      </c>
      <c r="AN194" s="374"/>
      <c r="AO194" s="336"/>
      <c r="AP194" s="375"/>
      <c r="AQ194" s="375"/>
      <c r="AR194" s="375"/>
      <c r="AS194" s="375"/>
      <c r="AT194" s="376" cm="1">
        <f t="array" ref="AT194">SUM(AN194:AS194)</f>
        <v>0</v>
      </c>
      <c r="AU194" s="377"/>
      <c r="AV194" s="377"/>
    </row>
    <row r="195" ht="28.6" customHeight="1">
      <c r="AM195" t="s" s="264">
        <v>47</v>
      </c>
      <c r="AN195" s="286"/>
      <c r="AO195" s="287"/>
      <c r="AP195" s="378"/>
      <c r="AQ195" s="378"/>
      <c r="AR195" s="378"/>
      <c r="AS195" s="287"/>
      <c r="AT195" s="379" cm="1">
        <f t="array" ref="AT195">SUM(AN195:AS195)</f>
        <v>0</v>
      </c>
      <c r="AU195" s="380"/>
      <c r="AV195" s="380"/>
    </row>
    <row r="196" ht="28.6" customHeight="1">
      <c r="AM196" t="s" s="341">
        <v>10</v>
      </c>
      <c r="AN196" s="286"/>
      <c r="AO196" s="287"/>
      <c r="AP196" s="287"/>
      <c r="AQ196" s="287"/>
      <c r="AR196" s="378"/>
      <c r="AS196" s="378"/>
      <c r="AT196" s="379" cm="1">
        <f t="array" ref="AT196">SUM(AN196:AS196)</f>
        <v>0</v>
      </c>
      <c r="AU196" s="380"/>
      <c r="AV196" s="380"/>
    </row>
    <row r="197" ht="28.6" customHeight="1">
      <c r="AM197" t="s" s="264">
        <v>32</v>
      </c>
      <c r="AN197" s="381"/>
      <c r="AO197" s="378"/>
      <c r="AP197" s="287"/>
      <c r="AQ197" s="339">
        <v>1</v>
      </c>
      <c r="AR197" s="339">
        <v>1</v>
      </c>
      <c r="AS197" s="378"/>
      <c r="AT197" s="379" cm="1">
        <f t="array" ref="AT197">SUM(AN197:AS197)</f>
        <v>2</v>
      </c>
      <c r="AU197" s="380"/>
      <c r="AV197" s="380"/>
    </row>
    <row r="198" ht="28.6" customHeight="1">
      <c r="AM198" t="s" s="264">
        <v>16</v>
      </c>
      <c r="AN198" s="345">
        <v>1</v>
      </c>
      <c r="AO198" s="339">
        <v>1</v>
      </c>
      <c r="AP198" s="339">
        <v>1</v>
      </c>
      <c r="AQ198" s="287"/>
      <c r="AR198" s="339">
        <v>1</v>
      </c>
      <c r="AS198" s="378"/>
      <c r="AT198" s="379" cm="1">
        <f t="array" ref="AT198">SUM(AN198:AS198)</f>
        <v>4</v>
      </c>
      <c r="AU198" s="380"/>
      <c r="AV198" s="380"/>
    </row>
    <row r="199" ht="28.6" customHeight="1">
      <c r="AM199" t="s" s="264">
        <v>18</v>
      </c>
      <c r="AN199" s="381"/>
      <c r="AO199" s="378"/>
      <c r="AP199" s="382"/>
      <c r="AQ199" s="378"/>
      <c r="AR199" s="378"/>
      <c r="AS199" s="378"/>
      <c r="AT199" s="379" cm="1">
        <f t="array" ref="AT199">SUM(AN199:AS199)</f>
        <v>0</v>
      </c>
      <c r="AU199" s="380"/>
      <c r="AV199" s="380"/>
    </row>
    <row r="200" ht="28.6" customHeight="1">
      <c r="AM200" t="s" s="264">
        <v>287</v>
      </c>
      <c r="AN200" s="381"/>
      <c r="AO200" s="378"/>
      <c r="AP200" s="378"/>
      <c r="AQ200" s="378"/>
      <c r="AR200" s="378"/>
      <c r="AS200" s="378"/>
      <c r="AT200" s="379" cm="1">
        <f t="array" ref="AT200">SUM(AN200:AS200)</f>
        <v>0</v>
      </c>
      <c r="AU200" s="380"/>
      <c r="AV200" s="380"/>
    </row>
    <row r="201" ht="28.6" customHeight="1">
      <c r="AM201" t="s" s="264">
        <v>45</v>
      </c>
      <c r="AN201" s="345">
        <v>1</v>
      </c>
      <c r="AO201" s="339">
        <v>1</v>
      </c>
      <c r="AP201" s="339">
        <v>1</v>
      </c>
      <c r="AQ201" s="287"/>
      <c r="AR201" s="378"/>
      <c r="AS201" s="339">
        <v>1</v>
      </c>
      <c r="AT201" s="379" cm="1">
        <f t="array" ref="AT201">SUM(AN201:AS201)</f>
        <v>4</v>
      </c>
      <c r="AU201" s="380"/>
      <c r="AV201" s="380"/>
    </row>
    <row r="202" ht="28.6" customHeight="1">
      <c r="AM202" t="s" s="264">
        <v>154</v>
      </c>
      <c r="AN202" s="286"/>
      <c r="AO202" s="378"/>
      <c r="AP202" s="287"/>
      <c r="AQ202" s="378"/>
      <c r="AR202" s="287"/>
      <c r="AS202" s="378"/>
      <c r="AT202" s="379" cm="1">
        <f t="array" ref="AT202">SUM(AN202:AS202)</f>
        <v>0</v>
      </c>
      <c r="AU202" s="380"/>
      <c r="AV202" s="380"/>
    </row>
    <row r="203" ht="28.6" customHeight="1">
      <c r="AM203" t="s" s="264">
        <v>257</v>
      </c>
      <c r="AN203" s="345">
        <v>1</v>
      </c>
      <c r="AO203" s="339">
        <v>1</v>
      </c>
      <c r="AP203" s="339">
        <v>1</v>
      </c>
      <c r="AQ203" s="287"/>
      <c r="AR203" s="287"/>
      <c r="AS203" s="378"/>
      <c r="AT203" s="379" cm="1">
        <f t="array" ref="AT203">SUM(AN203:AS203)</f>
        <v>3</v>
      </c>
      <c r="AU203" s="380"/>
      <c r="AV203" s="380"/>
    </row>
    <row r="204" ht="28.6" customHeight="1">
      <c r="AM204" t="s" s="264">
        <v>391</v>
      </c>
      <c r="AN204" s="286"/>
      <c r="AO204" s="339">
        <v>1</v>
      </c>
      <c r="AP204" s="287"/>
      <c r="AQ204" s="287"/>
      <c r="AR204" s="378"/>
      <c r="AS204" s="378"/>
      <c r="AT204" s="379" cm="1">
        <f t="array" ref="AT204">SUM(AN204:AS204)</f>
        <v>1</v>
      </c>
      <c r="AU204" s="380"/>
      <c r="AV204" s="380"/>
    </row>
    <row r="205" ht="28.6" customHeight="1">
      <c r="AM205" t="s" s="264">
        <v>393</v>
      </c>
      <c r="AN205" s="381"/>
      <c r="AO205" s="378"/>
      <c r="AP205" s="378"/>
      <c r="AQ205" s="382"/>
      <c r="AR205" s="378"/>
      <c r="AS205" s="378"/>
      <c r="AT205" s="379" cm="1">
        <f t="array" ref="AT205">SUM(AN205:AS205)</f>
        <v>0</v>
      </c>
      <c r="AU205" s="380"/>
      <c r="AV205" s="380"/>
    </row>
    <row r="206" ht="28.6" customHeight="1">
      <c r="AM206" t="s" s="264">
        <v>395</v>
      </c>
      <c r="AN206" s="381"/>
      <c r="AO206" s="378"/>
      <c r="AP206" s="378"/>
      <c r="AQ206" s="378"/>
      <c r="AR206" s="378"/>
      <c r="AS206" s="378"/>
      <c r="AT206" s="379" cm="1">
        <f t="array" ref="AT206">SUM(AN206:AS206)</f>
        <v>0</v>
      </c>
      <c r="AU206" s="380"/>
      <c r="AV206" s="380"/>
    </row>
    <row r="207" ht="28.6" customHeight="1">
      <c r="AM207" t="s" s="264">
        <v>155</v>
      </c>
      <c r="AN207" s="381"/>
      <c r="AO207" s="287"/>
      <c r="AP207" s="287"/>
      <c r="AQ207" s="287"/>
      <c r="AR207" s="378"/>
      <c r="AS207" s="378"/>
      <c r="AT207" s="379" cm="1">
        <f t="array" ref="AT207">SUM(AN207:AS207)</f>
        <v>0</v>
      </c>
      <c r="AU207" s="380"/>
      <c r="AV207" s="380"/>
    </row>
    <row r="208" ht="28.6" customHeight="1">
      <c r="AM208" t="s" s="341">
        <v>37</v>
      </c>
      <c r="AN208" s="342">
        <v>1</v>
      </c>
      <c r="AO208" s="287"/>
      <c r="AP208" s="343">
        <v>1</v>
      </c>
      <c r="AQ208" s="343">
        <v>1</v>
      </c>
      <c r="AR208" s="287"/>
      <c r="AS208" s="378"/>
      <c r="AT208" s="379" cm="1">
        <f t="array" ref="AT208">SUM(AN208:AS208)</f>
        <v>3</v>
      </c>
      <c r="AU208" s="380"/>
      <c r="AV208" s="380"/>
    </row>
    <row r="209" ht="28.6" customHeight="1">
      <c r="AM209" t="s" s="341">
        <v>469</v>
      </c>
      <c r="AN209" s="286"/>
      <c r="AO209" s="287"/>
      <c r="AP209" s="287"/>
      <c r="AQ209" s="382"/>
      <c r="AR209" s="287"/>
      <c r="AS209" s="378"/>
      <c r="AT209" s="379" cm="1">
        <f t="array" ref="AT209">SUM(AN209:AS209)</f>
        <v>0</v>
      </c>
      <c r="AU209" s="380"/>
      <c r="AV209" s="380"/>
    </row>
    <row r="210" ht="28.6" customHeight="1">
      <c r="AM210" t="s" s="264">
        <v>19</v>
      </c>
      <c r="AN210" s="381"/>
      <c r="AO210" s="378"/>
      <c r="AP210" s="378"/>
      <c r="AQ210" s="382"/>
      <c r="AR210" s="378"/>
      <c r="AS210" s="378"/>
      <c r="AT210" s="379" cm="1">
        <f t="array" ref="AT210">SUM(AN210:AS210)</f>
        <v>0</v>
      </c>
      <c r="AU210" s="380"/>
      <c r="AV210" s="380"/>
    </row>
    <row r="211" ht="28.6" customHeight="1">
      <c r="AM211" t="s" s="264">
        <v>239</v>
      </c>
      <c r="AN211" s="381"/>
      <c r="AO211" s="378"/>
      <c r="AP211" s="378"/>
      <c r="AQ211" s="382"/>
      <c r="AR211" s="378"/>
      <c r="AS211" s="378"/>
      <c r="AT211" s="379" cm="1">
        <f t="array" ref="AT211">SUM(AN211:AS211)</f>
        <v>0</v>
      </c>
      <c r="AU211" s="380"/>
      <c r="AV211" s="380"/>
    </row>
    <row r="212" ht="28.6" customHeight="1">
      <c r="AM212" t="s" s="264">
        <v>262</v>
      </c>
      <c r="AN212" s="345">
        <v>1</v>
      </c>
      <c r="AO212" s="339">
        <v>1</v>
      </c>
      <c r="AP212" s="378"/>
      <c r="AQ212" s="339">
        <v>1</v>
      </c>
      <c r="AR212" s="287"/>
      <c r="AS212" s="339">
        <v>1</v>
      </c>
      <c r="AT212" s="379" cm="1">
        <f t="array" ref="AT212">SUM(AN212:AS212)</f>
        <v>4</v>
      </c>
      <c r="AU212" s="380"/>
      <c r="AV212" s="380"/>
    </row>
    <row r="213" ht="34.45" customHeight="1">
      <c r="AM213" t="s" s="264">
        <v>265</v>
      </c>
      <c r="AN213" s="286"/>
      <c r="AO213" s="339">
        <v>1</v>
      </c>
      <c r="AP213" s="287"/>
      <c r="AQ213" s="339">
        <v>1</v>
      </c>
      <c r="AR213" s="287"/>
      <c r="AS213" s="378"/>
      <c r="AT213" s="379" cm="1">
        <f t="array" ref="AT213">SUM(AN213:AS213)</f>
        <v>2</v>
      </c>
      <c r="AU213" s="378"/>
      <c r="AV213" s="378"/>
    </row>
    <row r="214" ht="25.6" customHeight="1">
      <c r="AM214" t="s" s="264">
        <v>250</v>
      </c>
      <c r="AN214" s="286"/>
      <c r="AO214" s="287"/>
      <c r="AP214" s="339">
        <v>1</v>
      </c>
      <c r="AQ214" s="287"/>
      <c r="AR214" s="287"/>
      <c r="AS214" s="378"/>
      <c r="AT214" s="379" cm="1">
        <f t="array" ref="AT214">SUM(AN214:AS214)</f>
        <v>1</v>
      </c>
      <c r="AU214" s="378"/>
      <c r="AV214" s="378"/>
    </row>
    <row r="215" ht="25.6" customHeight="1">
      <c r="AM215" t="s" s="264">
        <v>268</v>
      </c>
      <c r="AN215" s="381"/>
      <c r="AO215" s="378"/>
      <c r="AP215" s="378"/>
      <c r="AQ215" s="382"/>
      <c r="AR215" s="378"/>
      <c r="AS215" s="378"/>
      <c r="AT215" s="379" cm="1">
        <f t="array" ref="AT215">SUM(AN215:AS215)</f>
        <v>0</v>
      </c>
      <c r="AU215" s="378"/>
      <c r="AV215" s="378"/>
    </row>
    <row r="216" ht="25.6" customHeight="1">
      <c r="AM216" t="s" s="264">
        <v>156</v>
      </c>
      <c r="AN216" s="345">
        <v>1</v>
      </c>
      <c r="AO216" s="287"/>
      <c r="AP216" s="339">
        <v>1</v>
      </c>
      <c r="AQ216" s="339">
        <v>1</v>
      </c>
      <c r="AR216" s="339">
        <v>1</v>
      </c>
      <c r="AS216" s="378"/>
      <c r="AT216" s="379" cm="1">
        <f t="array" ref="AT216">SUM(AN216:AS216)</f>
        <v>4</v>
      </c>
      <c r="AU216" s="378"/>
      <c r="AV216" s="378"/>
    </row>
    <row r="217" ht="28.6" customHeight="1">
      <c r="AM217" t="s" s="264">
        <v>259</v>
      </c>
      <c r="AN217" s="381"/>
      <c r="AO217" s="378"/>
      <c r="AP217" s="378"/>
      <c r="AQ217" s="382"/>
      <c r="AR217" s="378"/>
      <c r="AS217" s="378"/>
      <c r="AT217" s="379" cm="1">
        <f t="array" ref="AT217">SUM(AN217:AS217)</f>
        <v>0</v>
      </c>
      <c r="AU217" s="380"/>
      <c r="AV217" s="380"/>
    </row>
    <row r="218" ht="28.6" customHeight="1">
      <c r="AM218" t="s" s="264">
        <v>274</v>
      </c>
      <c r="AN218" s="381"/>
      <c r="AO218" s="378"/>
      <c r="AP218" s="378"/>
      <c r="AQ218" s="382"/>
      <c r="AR218" s="378"/>
      <c r="AS218" s="378"/>
      <c r="AT218" s="379" cm="1">
        <f t="array" ref="AT218">SUM(AN218:AS218)</f>
        <v>0</v>
      </c>
      <c r="AU218" s="380"/>
      <c r="AV218" s="380"/>
    </row>
    <row r="219" ht="28.6" customHeight="1">
      <c r="AM219" t="s" s="264">
        <v>48</v>
      </c>
      <c r="AN219" s="286"/>
      <c r="AO219" s="378"/>
      <c r="AP219" s="378"/>
      <c r="AQ219" s="382"/>
      <c r="AR219" s="378"/>
      <c r="AS219" s="378"/>
      <c r="AT219" s="379" cm="1">
        <f t="array" ref="AT219">SUM(AN219:AS219)</f>
        <v>0</v>
      </c>
      <c r="AU219" s="380"/>
      <c r="AV219" s="380"/>
    </row>
    <row r="220" ht="28.6" customHeight="1">
      <c r="AM220" t="s" s="264">
        <v>49</v>
      </c>
      <c r="AN220" s="286"/>
      <c r="AO220" s="378"/>
      <c r="AP220" s="378"/>
      <c r="AQ220" s="382"/>
      <c r="AR220" s="378"/>
      <c r="AS220" s="378"/>
      <c r="AT220" s="379" cm="1">
        <f t="array" ref="AT220">SUM(AN220:AS220)</f>
        <v>0</v>
      </c>
      <c r="AU220" s="380"/>
      <c r="AV220" s="380"/>
    </row>
    <row r="221" ht="28.6" customHeight="1">
      <c r="AM221" t="s" s="264">
        <v>50</v>
      </c>
      <c r="AN221" s="381"/>
      <c r="AO221" s="378"/>
      <c r="AP221" s="378"/>
      <c r="AQ221" s="339">
        <v>1</v>
      </c>
      <c r="AR221" s="378"/>
      <c r="AS221" s="378"/>
      <c r="AT221" s="379" cm="1">
        <f t="array" ref="AT221">SUM(AN221:AS221)</f>
        <v>1</v>
      </c>
      <c r="AU221" s="380"/>
      <c r="AV221" s="380"/>
    </row>
    <row r="222" ht="28.6" customHeight="1">
      <c r="AM222" t="s" s="264">
        <v>51</v>
      </c>
      <c r="AN222" s="381"/>
      <c r="AO222" s="378"/>
      <c r="AP222" s="378"/>
      <c r="AQ222" s="339">
        <v>1</v>
      </c>
      <c r="AR222" s="378"/>
      <c r="AS222" s="378"/>
      <c r="AT222" s="379" cm="1">
        <f t="array" ref="AT222">SUM(AN222:AS222)</f>
        <v>1</v>
      </c>
      <c r="AU222" s="380"/>
      <c r="AV222" s="380"/>
    </row>
    <row r="223" ht="28.6" customHeight="1">
      <c r="AM223" t="s" s="264">
        <v>52</v>
      </c>
      <c r="AN223" s="381"/>
      <c r="AO223" s="378"/>
      <c r="AP223" s="378"/>
      <c r="AQ223" s="339">
        <v>1</v>
      </c>
      <c r="AR223" s="378"/>
      <c r="AS223" s="378"/>
      <c r="AT223" s="379" cm="1">
        <f t="array" ref="AT223">SUM(AN223:AS223)</f>
        <v>1</v>
      </c>
      <c r="AU223" s="380"/>
      <c r="AV223" s="380"/>
    </row>
    <row r="224" ht="28.6" customHeight="1">
      <c r="AM224" t="s" s="264">
        <v>115</v>
      </c>
      <c r="AN224" s="381"/>
      <c r="AO224" s="378"/>
      <c r="AP224" s="378"/>
      <c r="AQ224" s="382"/>
      <c r="AR224" s="378"/>
      <c r="AS224" s="378"/>
      <c r="AT224" s="379" cm="1">
        <f t="array" ref="AT224">SUM(AN224:AS224)</f>
        <v>0</v>
      </c>
      <c r="AU224" s="379">
        <v>2</v>
      </c>
      <c r="AV224" s="380"/>
    </row>
    <row r="225" ht="28.6" customHeight="1">
      <c r="AM225" t="s" s="264">
        <v>197</v>
      </c>
      <c r="AN225" s="381"/>
      <c r="AO225" s="378"/>
      <c r="AP225" s="378"/>
      <c r="AQ225" s="382"/>
      <c r="AR225" s="378"/>
      <c r="AS225" s="378"/>
      <c r="AT225" s="379" cm="1">
        <f t="array" ref="AT225">SUM(AN225:AS225)</f>
        <v>0</v>
      </c>
      <c r="AU225" s="380"/>
      <c r="AV225" s="380"/>
    </row>
    <row r="226" ht="28.6" customHeight="1">
      <c r="AM226" t="s" s="264">
        <v>46</v>
      </c>
      <c r="AN226" s="345">
        <v>1</v>
      </c>
      <c r="AO226" s="339">
        <v>1</v>
      </c>
      <c r="AP226" s="287"/>
      <c r="AQ226" s="382"/>
      <c r="AR226" s="378"/>
      <c r="AS226" s="339">
        <v>1</v>
      </c>
      <c r="AT226" s="379" cm="1">
        <f t="array" ref="AT226">SUM(AN226:AS226)</f>
        <v>3</v>
      </c>
      <c r="AU226" s="380"/>
      <c r="AV226" s="380"/>
    </row>
    <row r="227" ht="28.6" customHeight="1">
      <c r="AM227" t="s" s="264">
        <v>191</v>
      </c>
      <c r="AN227" s="345">
        <v>1</v>
      </c>
      <c r="AO227" s="287"/>
      <c r="AP227" s="287"/>
      <c r="AQ227" s="287"/>
      <c r="AR227" s="378"/>
      <c r="AS227" s="378"/>
      <c r="AT227" s="379" cm="1">
        <f t="array" ref="AT227">SUM(AN227:AS227)</f>
        <v>1</v>
      </c>
      <c r="AU227" s="380"/>
      <c r="AV227" s="380"/>
    </row>
    <row r="228" ht="28.6" customHeight="1">
      <c r="AM228" t="s" s="264">
        <v>109</v>
      </c>
      <c r="AN228" s="381"/>
      <c r="AO228" s="339">
        <v>1</v>
      </c>
      <c r="AP228" s="378"/>
      <c r="AQ228" s="378"/>
      <c r="AR228" s="378"/>
      <c r="AS228" s="378"/>
      <c r="AT228" s="379" cm="1">
        <f t="array" ref="AT228">SUM(AN228:AS228)</f>
        <v>1</v>
      </c>
      <c r="AU228" s="380"/>
      <c r="AV228" s="380"/>
    </row>
    <row r="229" ht="28.6" customHeight="1">
      <c r="AM229" t="s" s="264">
        <v>270</v>
      </c>
      <c r="AN229" s="381"/>
      <c r="AO229" s="378"/>
      <c r="AP229" s="378"/>
      <c r="AQ229" s="382"/>
      <c r="AR229" s="378"/>
      <c r="AS229" s="378"/>
      <c r="AT229" s="379" cm="1">
        <f t="array" ref="AT229">SUM(AN229:AS229)</f>
        <v>0</v>
      </c>
      <c r="AU229" s="380"/>
      <c r="AV229" s="380"/>
    </row>
    <row r="230" ht="28.6" customHeight="1">
      <c r="AM230" t="s" s="264">
        <v>272</v>
      </c>
      <c r="AN230" s="381"/>
      <c r="AO230" s="378"/>
      <c r="AP230" s="378"/>
      <c r="AQ230" s="382"/>
      <c r="AR230" s="378"/>
      <c r="AS230" s="378"/>
      <c r="AT230" s="379" cm="1">
        <f t="array" ref="AT230">SUM(AN230:AS230)</f>
        <v>0</v>
      </c>
      <c r="AU230" s="380"/>
      <c r="AV230" s="380"/>
    </row>
    <row r="231" ht="28.6" customHeight="1">
      <c r="AM231" t="s" s="264">
        <v>319</v>
      </c>
      <c r="AN231" s="286"/>
      <c r="AO231" s="287"/>
      <c r="AP231" s="287"/>
      <c r="AQ231" s="382"/>
      <c r="AR231" s="378"/>
      <c r="AS231" s="378"/>
      <c r="AT231" s="379" cm="1">
        <f t="array" ref="AT231">SUM(AN231:AS231)</f>
        <v>0</v>
      </c>
      <c r="AU231" s="380"/>
      <c r="AV231" s="380"/>
    </row>
    <row r="232" ht="28.6" customHeight="1">
      <c r="AM232" t="s" s="264">
        <v>352</v>
      </c>
      <c r="AN232" s="345">
        <v>1</v>
      </c>
      <c r="AO232" s="339">
        <v>1</v>
      </c>
      <c r="AP232" s="287"/>
      <c r="AQ232" s="287"/>
      <c r="AR232" s="378"/>
      <c r="AS232" s="287"/>
      <c r="AT232" s="379" cm="1">
        <f t="array" ref="AT232">SUM(AN232:AS232)</f>
        <v>2</v>
      </c>
      <c r="AU232" s="380"/>
      <c r="AV232" s="380"/>
    </row>
    <row r="233" ht="28.6" customHeight="1">
      <c r="AM233" t="s" s="264">
        <v>349</v>
      </c>
      <c r="AN233" s="286"/>
      <c r="AO233" s="339">
        <v>1</v>
      </c>
      <c r="AP233" s="339">
        <v>1</v>
      </c>
      <c r="AQ233" s="339">
        <v>1</v>
      </c>
      <c r="AR233" s="378"/>
      <c r="AS233" s="287"/>
      <c r="AT233" s="379" cm="1">
        <f t="array" ref="AT233">SUM(AN233:AS233)</f>
        <v>3</v>
      </c>
      <c r="AU233" s="380"/>
      <c r="AV233" s="380"/>
    </row>
    <row r="234" ht="28.6" customHeight="1">
      <c r="AM234" t="s" s="264">
        <v>358</v>
      </c>
      <c r="AN234" s="345">
        <v>1</v>
      </c>
      <c r="AO234" s="287"/>
      <c r="AP234" s="339">
        <v>1</v>
      </c>
      <c r="AQ234" s="339">
        <v>1</v>
      </c>
      <c r="AR234" s="378"/>
      <c r="AS234" s="378"/>
      <c r="AT234" s="379" cm="1">
        <f t="array" ref="AT234">SUM(AN234:AS234)</f>
        <v>3</v>
      </c>
      <c r="AU234" s="380"/>
      <c r="AV234" s="380"/>
    </row>
    <row r="235" ht="28.6" customHeight="1">
      <c r="AM235" t="s" s="264">
        <v>359</v>
      </c>
      <c r="AN235" s="286"/>
      <c r="AO235" s="287"/>
      <c r="AP235" s="287"/>
      <c r="AQ235" s="287"/>
      <c r="AR235" s="287"/>
      <c r="AS235" s="378"/>
      <c r="AT235" s="379" cm="1">
        <f t="array" ref="AT235">SUM(AN235:AS235)</f>
        <v>0</v>
      </c>
      <c r="AU235" s="380"/>
      <c r="AV235" s="380"/>
    </row>
    <row r="236" ht="28.6" customHeight="1">
      <c r="AM236" t="s" s="264">
        <v>360</v>
      </c>
      <c r="AN236" s="286"/>
      <c r="AO236" s="378"/>
      <c r="AP236" s="433">
        <v>1</v>
      </c>
      <c r="AQ236" s="382"/>
      <c r="AR236" s="378"/>
      <c r="AS236" s="378"/>
      <c r="AT236" s="379" cm="1">
        <f t="array" ref="AT236">SUM(AN236:AS236)</f>
        <v>1</v>
      </c>
      <c r="AU236" s="380"/>
      <c r="AV236" s="380"/>
    </row>
    <row r="237" ht="28.6" customHeight="1">
      <c r="AM237" t="s" s="264">
        <v>363</v>
      </c>
      <c r="AN237" s="345">
        <v>1</v>
      </c>
      <c r="AO237" s="339">
        <v>1</v>
      </c>
      <c r="AP237" s="378"/>
      <c r="AQ237" s="382"/>
      <c r="AR237" s="378"/>
      <c r="AS237" s="378"/>
      <c r="AT237" s="379" cm="1">
        <f t="array" ref="AT237">SUM(AN237:AS237)</f>
        <v>2</v>
      </c>
      <c r="AU237" s="380"/>
      <c r="AV237" s="380"/>
    </row>
    <row r="238" ht="28.6" customHeight="1">
      <c r="AM238" t="s" s="264">
        <v>355</v>
      </c>
      <c r="AN238" s="345">
        <v>1</v>
      </c>
      <c r="AO238" s="339">
        <v>1</v>
      </c>
      <c r="AP238" s="339">
        <v>1</v>
      </c>
      <c r="AQ238" s="339">
        <v>1</v>
      </c>
      <c r="AR238" s="378"/>
      <c r="AS238" s="378"/>
      <c r="AT238" s="379" cm="1">
        <f t="array" ref="AT238">SUM(AN238:AS238)</f>
        <v>4</v>
      </c>
      <c r="AU238" s="380"/>
      <c r="AV238" s="380"/>
    </row>
    <row r="239" ht="28.6" customHeight="1">
      <c r="AM239" t="s" s="264">
        <v>357</v>
      </c>
      <c r="AN239" s="286"/>
      <c r="AO239" s="378"/>
      <c r="AP239" s="378"/>
      <c r="AQ239" s="382"/>
      <c r="AR239" s="378"/>
      <c r="AS239" s="378"/>
      <c r="AT239" s="379" cm="1">
        <f t="array" ref="AT239">SUM(AN239:AS239)</f>
        <v>0</v>
      </c>
      <c r="AU239" s="380"/>
      <c r="AV239" s="380"/>
    </row>
    <row r="240" ht="28.6" customHeight="1">
      <c r="AM240" t="s" s="255">
        <v>365</v>
      </c>
      <c r="AN240" s="345">
        <v>1</v>
      </c>
      <c r="AO240" s="378"/>
      <c r="AP240" s="378"/>
      <c r="AQ240" s="339">
        <v>1</v>
      </c>
      <c r="AR240" s="378"/>
      <c r="AS240" s="378"/>
      <c r="AT240" s="379" cm="1">
        <f t="array" ref="AT240">SUM(AN240:AS240)</f>
        <v>2</v>
      </c>
      <c r="AU240" s="380"/>
      <c r="AV240" s="380"/>
    </row>
    <row r="241" ht="28.6" customHeight="1">
      <c r="AM241" t="s" s="264">
        <v>368</v>
      </c>
      <c r="AN241" s="345">
        <v>1</v>
      </c>
      <c r="AO241" s="339">
        <v>1</v>
      </c>
      <c r="AP241" s="339">
        <v>1</v>
      </c>
      <c r="AQ241" s="339">
        <v>1</v>
      </c>
      <c r="AR241" s="433">
        <v>2</v>
      </c>
      <c r="AS241" s="339">
        <v>1</v>
      </c>
      <c r="AT241" s="379" cm="1">
        <f t="array" ref="AT241">SUM(AN241:AS241)</f>
        <v>7</v>
      </c>
      <c r="AU241" s="380"/>
      <c r="AV241" s="380"/>
    </row>
    <row r="242" ht="28.6" customHeight="1">
      <c r="AM242" t="s" s="264">
        <v>371</v>
      </c>
      <c r="AN242" s="345">
        <v>1</v>
      </c>
      <c r="AO242" s="339">
        <v>1</v>
      </c>
      <c r="AP242" s="433">
        <v>2</v>
      </c>
      <c r="AQ242" s="339">
        <v>1</v>
      </c>
      <c r="AR242" s="433">
        <v>2</v>
      </c>
      <c r="AS242" s="339">
        <v>1</v>
      </c>
      <c r="AT242" s="379" cm="1">
        <f t="array" ref="AT242">SUM(AN242:AS242)</f>
        <v>8</v>
      </c>
      <c r="AU242" s="380"/>
      <c r="AV242" s="380"/>
    </row>
    <row r="243" ht="28.6" customHeight="1">
      <c r="AM243" t="s" s="264">
        <v>437</v>
      </c>
      <c r="AN243" s="345">
        <v>1</v>
      </c>
      <c r="AO243" s="339">
        <v>1</v>
      </c>
      <c r="AP243" s="339">
        <v>1</v>
      </c>
      <c r="AQ243" s="339">
        <v>1</v>
      </c>
      <c r="AR243" s="339">
        <v>1</v>
      </c>
      <c r="AS243" s="378"/>
      <c r="AT243" s="379" cm="1">
        <f t="array" ref="AT243">SUM(AN243:AS243)</f>
        <v>5</v>
      </c>
      <c r="AU243" s="380"/>
      <c r="AV243" s="380"/>
    </row>
    <row r="244" ht="28.6" customHeight="1">
      <c r="AM244" t="s" s="264">
        <v>439</v>
      </c>
      <c r="AN244" s="286"/>
      <c r="AO244" s="378"/>
      <c r="AP244" s="378"/>
      <c r="AQ244" s="382"/>
      <c r="AR244" s="378"/>
      <c r="AS244" s="378"/>
      <c r="AT244" s="379" cm="1">
        <f t="array" ref="AT244">SUM(AN244:AS244)</f>
        <v>0</v>
      </c>
      <c r="AU244" s="380"/>
      <c r="AV244" s="380"/>
    </row>
    <row r="245" ht="28.6" customHeight="1">
      <c r="AM245" t="s" s="264">
        <v>444</v>
      </c>
      <c r="AN245" s="286"/>
      <c r="AO245" s="378"/>
      <c r="AP245" s="378"/>
      <c r="AQ245" s="382"/>
      <c r="AR245" s="378"/>
      <c r="AS245" s="378"/>
      <c r="AT245" s="379" cm="1">
        <f t="array" ref="AT245">SUM(AN245:AS245)</f>
        <v>0</v>
      </c>
      <c r="AU245" s="380"/>
      <c r="AV245" s="380"/>
    </row>
    <row r="246" ht="28.6" customHeight="1">
      <c r="AM246" t="s" s="264">
        <v>102</v>
      </c>
      <c r="AN246" s="381"/>
      <c r="AO246" s="378"/>
      <c r="AP246" s="339">
        <v>1</v>
      </c>
      <c r="AQ246" s="287"/>
      <c r="AR246" s="287"/>
      <c r="AS246" s="339">
        <v>2</v>
      </c>
      <c r="AT246" s="384" cm="1">
        <f t="array" ref="AT246">SUM(AN246:AS246)</f>
        <v>3</v>
      </c>
      <c r="AU246" s="378"/>
      <c r="AV246" s="378"/>
    </row>
    <row r="247" ht="28.6" customHeight="1">
      <c r="AM247" t="s" s="264">
        <v>102</v>
      </c>
      <c r="AN247" s="381"/>
      <c r="AO247" s="378"/>
      <c r="AP247" s="378"/>
      <c r="AQ247" s="287"/>
      <c r="AR247" s="287"/>
      <c r="AS247" s="287"/>
      <c r="AT247" s="384" cm="1">
        <f t="array" ref="AT247">SUM(AN247:AS247)</f>
        <v>0</v>
      </c>
      <c r="AU247" s="378"/>
      <c r="AV247" s="378"/>
    </row>
    <row r="248" ht="42.05" customHeight="1">
      <c r="AM248" t="s" s="386">
        <v>30</v>
      </c>
      <c r="AN248" s="387" cm="1">
        <f t="array" ref="AN248">SUM(AN194:AN247)</f>
        <v>16</v>
      </c>
      <c r="AO248" s="379" cm="1">
        <f t="array" ref="AO248">SUM(AO194:AO247)</f>
        <v>15</v>
      </c>
      <c r="AP248" s="379" cm="1">
        <f t="array" ref="AP248">SUM(AP194:AP247)</f>
        <v>15</v>
      </c>
      <c r="AQ248" s="379" cm="1">
        <f t="array" ref="AQ248">SUM(AQ194:AQ247)</f>
        <v>15</v>
      </c>
      <c r="AR248" s="379" cm="1">
        <f t="array" ref="AR248">SUM(AR194:AR247)</f>
        <v>8</v>
      </c>
      <c r="AS248" s="379" cm="1">
        <f t="array" ref="AS248">SUM(AS194:AS247)</f>
        <v>7</v>
      </c>
      <c r="AT248" s="379" cm="1">
        <f t="array" ref="AT248">SUM(AT194:AT246)</f>
        <v>76</v>
      </c>
      <c r="AU248" s="378"/>
      <c r="AV248" s="378"/>
    </row>
    <row r="250" ht="27.65" customHeight="1">
      <c r="AW250" t="s" s="2">
        <v>84</v>
      </c>
      <c r="AX250" s="2"/>
      <c r="AY250" s="2"/>
      <c r="AZ250" s="2"/>
      <c r="BA250" s="2"/>
      <c r="BB250" s="2"/>
      <c r="BC250" s="2"/>
      <c r="BD250" s="2"/>
      <c r="BE250" s="2"/>
      <c r="BF250" s="2"/>
    </row>
    <row r="251" ht="42.3" customHeight="1">
      <c r="AW251" s="371"/>
      <c r="AX251" t="s" s="372">
        <v>480</v>
      </c>
      <c r="AY251" t="s" s="372">
        <v>481</v>
      </c>
      <c r="AZ251" t="s" s="372">
        <v>482</v>
      </c>
      <c r="BA251" t="s" s="372">
        <v>483</v>
      </c>
      <c r="BB251" t="s" s="372">
        <v>484</v>
      </c>
      <c r="BC251" t="s" s="372">
        <v>485</v>
      </c>
      <c r="BD251" t="s" s="372">
        <v>53</v>
      </c>
      <c r="BE251" t="s" s="372">
        <v>67</v>
      </c>
      <c r="BF251" t="s" s="372">
        <v>160</v>
      </c>
    </row>
    <row r="252" ht="26.6" customHeight="1">
      <c r="AW252" t="s" s="333">
        <v>35</v>
      </c>
      <c r="AX252" s="374"/>
      <c r="AY252" s="375"/>
      <c r="AZ252" s="375"/>
      <c r="BA252" s="375"/>
      <c r="BB252" s="375"/>
      <c r="BC252" s="336"/>
      <c r="BD252" s="376" cm="1">
        <f t="array" ref="BD252">SUM(AX252:BC252)</f>
        <v>0</v>
      </c>
      <c r="BE252" s="377"/>
      <c r="BF252" s="377"/>
    </row>
    <row r="253" ht="26.35" customHeight="1">
      <c r="AW253" t="s" s="264">
        <v>47</v>
      </c>
      <c r="AX253" s="345">
        <v>1</v>
      </c>
      <c r="AY253" s="339">
        <v>1</v>
      </c>
      <c r="AZ253" s="339">
        <v>1</v>
      </c>
      <c r="BA253" s="339">
        <v>1</v>
      </c>
      <c r="BB253" s="339">
        <v>1</v>
      </c>
      <c r="BC253" s="378"/>
      <c r="BD253" s="379" cm="1">
        <f t="array" ref="BD253">SUM(AX253:BC253)</f>
        <v>5</v>
      </c>
      <c r="BE253" s="380"/>
      <c r="BF253" s="380"/>
    </row>
    <row r="254" ht="26.35" customHeight="1">
      <c r="AW254" t="s" s="341">
        <v>10</v>
      </c>
      <c r="AX254" s="381"/>
      <c r="AY254" s="287"/>
      <c r="AZ254" s="287"/>
      <c r="BA254" s="287"/>
      <c r="BB254" s="378"/>
      <c r="BC254" s="378"/>
      <c r="BD254" s="379" cm="1">
        <f t="array" ref="BD254">SUM(AX254:BC254)</f>
        <v>0</v>
      </c>
      <c r="BE254" s="380"/>
      <c r="BF254" s="380"/>
    </row>
    <row r="255" ht="26.35" customHeight="1">
      <c r="AW255" t="s" s="264">
        <v>32</v>
      </c>
      <c r="AX255" s="381"/>
      <c r="AY255" s="339">
        <v>1</v>
      </c>
      <c r="AZ255" s="378"/>
      <c r="BA255" s="382"/>
      <c r="BB255" s="339">
        <v>1</v>
      </c>
      <c r="BC255" s="378"/>
      <c r="BD255" s="379" cm="1">
        <f t="array" ref="BD255">SUM(AX255:BC255)</f>
        <v>2</v>
      </c>
      <c r="BE255" s="380"/>
      <c r="BF255" s="380"/>
    </row>
    <row r="256" ht="26.35" customHeight="1">
      <c r="AW256" t="s" s="264">
        <v>16</v>
      </c>
      <c r="AX256" s="345">
        <v>1</v>
      </c>
      <c r="AY256" s="339">
        <v>1</v>
      </c>
      <c r="AZ256" s="287"/>
      <c r="BA256" s="287"/>
      <c r="BB256" s="287"/>
      <c r="BC256" s="378"/>
      <c r="BD256" s="379" cm="1">
        <f t="array" ref="BD256">SUM(AX256:BC256)</f>
        <v>2</v>
      </c>
      <c r="BE256" s="380"/>
      <c r="BF256" s="380"/>
    </row>
    <row r="257" ht="26.55" customHeight="1">
      <c r="AW257" t="s" s="264">
        <v>18</v>
      </c>
      <c r="AX257" s="381"/>
      <c r="AY257" s="378"/>
      <c r="AZ257" s="382"/>
      <c r="BA257" s="378"/>
      <c r="BB257" s="378"/>
      <c r="BC257" s="378"/>
      <c r="BD257" s="379" cm="1">
        <f t="array" ref="BD257">SUM(AX257:BC257)</f>
        <v>0</v>
      </c>
      <c r="BE257" s="380"/>
      <c r="BF257" s="380"/>
    </row>
    <row r="258" ht="26.35" customHeight="1">
      <c r="AW258" t="s" s="264">
        <v>287</v>
      </c>
      <c r="AX258" s="381"/>
      <c r="AY258" s="378"/>
      <c r="AZ258" s="378"/>
      <c r="BA258" s="378"/>
      <c r="BB258" s="378"/>
      <c r="BC258" s="378"/>
      <c r="BD258" s="379" cm="1">
        <f t="array" ref="BD258">SUM(AX258:BC258)</f>
        <v>0</v>
      </c>
      <c r="BE258" s="380"/>
      <c r="BF258" s="380"/>
    </row>
    <row r="259" ht="26.35" customHeight="1">
      <c r="AW259" t="s" s="264">
        <v>45</v>
      </c>
      <c r="AX259" s="345">
        <v>1</v>
      </c>
      <c r="AY259" s="339">
        <v>1</v>
      </c>
      <c r="AZ259" s="339">
        <v>1</v>
      </c>
      <c r="BA259" s="339">
        <v>1</v>
      </c>
      <c r="BB259" s="378"/>
      <c r="BC259" s="339">
        <v>1</v>
      </c>
      <c r="BD259" s="379" cm="1">
        <f t="array" ref="BD259">SUM(AX259:BC259)</f>
        <v>5</v>
      </c>
      <c r="BE259" s="380"/>
      <c r="BF259" s="380"/>
    </row>
    <row r="260" ht="26.35" customHeight="1">
      <c r="AW260" t="s" s="264">
        <v>154</v>
      </c>
      <c r="AX260" s="381"/>
      <c r="AY260" s="378"/>
      <c r="AZ260" s="287"/>
      <c r="BA260" s="378"/>
      <c r="BB260" s="378"/>
      <c r="BC260" s="378"/>
      <c r="BD260" s="379" cm="1">
        <f t="array" ref="BD260">SUM(AX260:BC260)</f>
        <v>0</v>
      </c>
      <c r="BE260" s="380"/>
      <c r="BF260" s="380"/>
    </row>
    <row r="261" ht="26.35" customHeight="1">
      <c r="AW261" t="s" s="264">
        <v>257</v>
      </c>
      <c r="AX261" s="286"/>
      <c r="AY261" s="287"/>
      <c r="AZ261" s="287"/>
      <c r="BA261" s="287"/>
      <c r="BB261" s="287"/>
      <c r="BC261" s="378"/>
      <c r="BD261" s="379" cm="1">
        <f t="array" ref="BD261">SUM(AX261:BC261)</f>
        <v>0</v>
      </c>
      <c r="BE261" s="380"/>
      <c r="BF261" s="380"/>
    </row>
    <row r="262" ht="26.35" customHeight="1">
      <c r="AW262" t="s" s="264">
        <v>391</v>
      </c>
      <c r="AX262" s="381"/>
      <c r="AY262" s="339">
        <v>1</v>
      </c>
      <c r="AZ262" s="287"/>
      <c r="BA262" s="382"/>
      <c r="BB262" s="287"/>
      <c r="BC262" s="287"/>
      <c r="BD262" s="379" cm="1">
        <f t="array" ref="BD262">SUM(AX262:BC262)</f>
        <v>1</v>
      </c>
      <c r="BE262" s="380"/>
      <c r="BF262" s="380"/>
    </row>
    <row r="263" ht="26.35" customHeight="1">
      <c r="AW263" t="s" s="264">
        <v>393</v>
      </c>
      <c r="AX263" s="381"/>
      <c r="AY263" s="378"/>
      <c r="AZ263" s="378"/>
      <c r="BA263" s="382"/>
      <c r="BB263" s="378"/>
      <c r="BC263" s="378"/>
      <c r="BD263" s="379" cm="1">
        <f t="array" ref="BD263">SUM(AX263:BC263)</f>
        <v>0</v>
      </c>
      <c r="BE263" s="380"/>
      <c r="BF263" s="380"/>
    </row>
    <row r="264" ht="26.35" customHeight="1">
      <c r="AW264" t="s" s="264">
        <v>395</v>
      </c>
      <c r="AX264" s="381"/>
      <c r="AY264" s="378"/>
      <c r="AZ264" s="378"/>
      <c r="BA264" s="378"/>
      <c r="BB264" s="378"/>
      <c r="BC264" s="378"/>
      <c r="BD264" s="379" cm="1">
        <f t="array" ref="BD264">SUM(AX264:BC264)</f>
        <v>0</v>
      </c>
      <c r="BE264" s="380"/>
      <c r="BF264" s="380"/>
    </row>
    <row r="265" ht="26.35" customHeight="1">
      <c r="AW265" t="s" s="264">
        <v>155</v>
      </c>
      <c r="AX265" s="286"/>
      <c r="AY265" s="287"/>
      <c r="AZ265" s="287"/>
      <c r="BA265" s="382"/>
      <c r="BB265" s="378"/>
      <c r="BC265" s="378"/>
      <c r="BD265" s="379" cm="1">
        <f t="array" ref="BD265">SUM(AX265:BC265)</f>
        <v>0</v>
      </c>
      <c r="BE265" s="380"/>
      <c r="BF265" s="380"/>
    </row>
    <row r="266" ht="26.35" customHeight="1">
      <c r="AW266" t="s" s="341">
        <v>37</v>
      </c>
      <c r="AX266" s="381"/>
      <c r="AY266" s="287"/>
      <c r="AZ266" s="378"/>
      <c r="BA266" s="343">
        <v>1</v>
      </c>
      <c r="BB266" s="343">
        <v>1</v>
      </c>
      <c r="BC266" s="378"/>
      <c r="BD266" s="379" cm="1">
        <f t="array" ref="BD266">SUM(AX266:BC266)</f>
        <v>2</v>
      </c>
      <c r="BE266" s="380"/>
      <c r="BF266" s="380"/>
    </row>
    <row r="267" ht="26.35" customHeight="1">
      <c r="AW267" t="s" s="341">
        <v>469</v>
      </c>
      <c r="AX267" s="381"/>
      <c r="AY267" s="287"/>
      <c r="AZ267" s="343">
        <v>1</v>
      </c>
      <c r="BA267" s="382"/>
      <c r="BB267" s="378"/>
      <c r="BC267" s="378"/>
      <c r="BD267" s="379" cm="1">
        <f t="array" ref="BD267">SUM(AX267:BC267)</f>
        <v>1</v>
      </c>
      <c r="BE267" s="380"/>
      <c r="BF267" s="380"/>
    </row>
    <row r="268" ht="26.35" customHeight="1">
      <c r="AW268" t="s" s="264">
        <v>19</v>
      </c>
      <c r="AX268" s="381"/>
      <c r="AY268" s="378"/>
      <c r="AZ268" s="378"/>
      <c r="BA268" s="382"/>
      <c r="BB268" s="378"/>
      <c r="BC268" s="378"/>
      <c r="BD268" s="379" cm="1">
        <f t="array" ref="BD268">SUM(AX268:BC268)</f>
        <v>0</v>
      </c>
      <c r="BE268" s="380"/>
      <c r="BF268" s="380"/>
    </row>
    <row r="269" ht="26.35" customHeight="1">
      <c r="AW269" t="s" s="264">
        <v>239</v>
      </c>
      <c r="AX269" s="381"/>
      <c r="AY269" s="378"/>
      <c r="AZ269" s="378"/>
      <c r="BA269" s="382"/>
      <c r="BB269" s="378"/>
      <c r="BC269" s="378"/>
      <c r="BD269" s="379" cm="1">
        <f t="array" ref="BD269">SUM(AX269:BC269)</f>
        <v>0</v>
      </c>
      <c r="BE269" s="380"/>
      <c r="BF269" s="380"/>
    </row>
    <row r="270" ht="26.35" customHeight="1">
      <c r="AW270" t="s" s="264">
        <v>262</v>
      </c>
      <c r="AX270" s="381"/>
      <c r="AY270" s="339">
        <v>1</v>
      </c>
      <c r="AZ270" s="287"/>
      <c r="BA270" s="339">
        <v>1</v>
      </c>
      <c r="BB270" s="339">
        <v>1</v>
      </c>
      <c r="BC270" s="339">
        <v>1</v>
      </c>
      <c r="BD270" s="379" cm="1">
        <f t="array" ref="BD270">SUM(AX270:BC270)</f>
        <v>4</v>
      </c>
      <c r="BE270" s="380"/>
      <c r="BF270" s="380"/>
    </row>
    <row r="271" ht="26.35" customHeight="1">
      <c r="AW271" t="s" s="264">
        <v>265</v>
      </c>
      <c r="AX271" s="286"/>
      <c r="AY271" s="287"/>
      <c r="AZ271" s="287"/>
      <c r="BA271" s="382"/>
      <c r="BB271" s="287"/>
      <c r="BC271" s="378"/>
      <c r="BD271" s="379" cm="1">
        <f t="array" ref="BD271">SUM(AX271:BC271)</f>
        <v>0</v>
      </c>
      <c r="BE271" s="380"/>
      <c r="BF271" s="380"/>
    </row>
    <row r="272" ht="20.7" customHeight="1">
      <c r="AW272" t="s" s="264">
        <v>250</v>
      </c>
      <c r="AX272" s="345">
        <v>1</v>
      </c>
      <c r="AY272" s="339">
        <v>1</v>
      </c>
      <c r="AZ272" s="339">
        <v>1</v>
      </c>
      <c r="BA272" s="339">
        <v>1</v>
      </c>
      <c r="BB272" s="339">
        <v>1</v>
      </c>
      <c r="BC272" s="378"/>
      <c r="BD272" s="379" cm="1">
        <f t="array" ref="BD272">SUM(AX272:BC272)</f>
        <v>5</v>
      </c>
      <c r="BE272" s="380"/>
      <c r="BF272" s="380"/>
    </row>
    <row r="273" ht="20.7" customHeight="1">
      <c r="AW273" t="s" s="264">
        <v>268</v>
      </c>
      <c r="AX273" s="381"/>
      <c r="AY273" s="378"/>
      <c r="AZ273" s="339">
        <v>1</v>
      </c>
      <c r="BA273" s="382"/>
      <c r="BB273" s="378"/>
      <c r="BC273" s="378"/>
      <c r="BD273" s="379" cm="1">
        <f t="array" ref="BD273">SUM(AX273:BC273)</f>
        <v>1</v>
      </c>
      <c r="BE273" s="380"/>
      <c r="BF273" s="380"/>
    </row>
    <row r="274" ht="20.7" customHeight="1">
      <c r="AW274" t="s" s="264">
        <v>156</v>
      </c>
      <c r="AX274" s="381"/>
      <c r="AY274" s="378"/>
      <c r="AZ274" s="339">
        <v>1</v>
      </c>
      <c r="BA274" s="339">
        <v>1</v>
      </c>
      <c r="BB274" s="378"/>
      <c r="BC274" s="378"/>
      <c r="BD274" s="379" cm="1">
        <f t="array" ref="BD274">SUM(AX274:BC274)</f>
        <v>2</v>
      </c>
      <c r="BE274" s="380"/>
      <c r="BF274" s="380"/>
    </row>
    <row r="275" ht="26.35" customHeight="1">
      <c r="AW275" t="s" s="264">
        <v>259</v>
      </c>
      <c r="AX275" s="381"/>
      <c r="AY275" s="378"/>
      <c r="AZ275" s="378"/>
      <c r="BA275" s="382"/>
      <c r="BB275" s="378"/>
      <c r="BC275" s="378"/>
      <c r="BD275" s="379" cm="1">
        <f t="array" ref="BD275">SUM(AX275:BC275)</f>
        <v>0</v>
      </c>
      <c r="BE275" s="380"/>
      <c r="BF275" s="380"/>
    </row>
    <row r="276" ht="23.95" customHeight="1">
      <c r="AW276" t="s" s="264">
        <v>274</v>
      </c>
      <c r="AX276" s="381"/>
      <c r="AY276" s="378"/>
      <c r="AZ276" s="378"/>
      <c r="BA276" s="382"/>
      <c r="BB276" s="378"/>
      <c r="BC276" s="378"/>
      <c r="BD276" s="379" cm="1">
        <f t="array" ref="BD276">SUM(AX276:BC276)</f>
        <v>0</v>
      </c>
      <c r="BE276" s="380"/>
      <c r="BF276" s="380"/>
    </row>
    <row r="277" ht="23.95" customHeight="1">
      <c r="AW277" t="s" s="264">
        <v>48</v>
      </c>
      <c r="AX277" s="381"/>
      <c r="AY277" s="378"/>
      <c r="AZ277" s="287"/>
      <c r="BA277" s="382"/>
      <c r="BB277" s="378"/>
      <c r="BC277" s="378"/>
      <c r="BD277" s="379" cm="1">
        <f t="array" ref="BD277">SUM(AX277:BC277)</f>
        <v>0</v>
      </c>
      <c r="BE277" s="380"/>
      <c r="BF277" s="380"/>
    </row>
    <row r="278" ht="23.95" customHeight="1">
      <c r="AW278" t="s" s="264">
        <v>49</v>
      </c>
      <c r="AX278" s="381"/>
      <c r="AY278" s="378"/>
      <c r="AZ278" s="287"/>
      <c r="BA278" s="382"/>
      <c r="BB278" s="378"/>
      <c r="BC278" s="378"/>
      <c r="BD278" s="379" cm="1">
        <f t="array" ref="BD278">SUM(AX278:BC278)</f>
        <v>0</v>
      </c>
      <c r="BE278" s="380"/>
      <c r="BF278" s="380"/>
    </row>
    <row r="279" ht="23.95" customHeight="1">
      <c r="AW279" t="s" s="264">
        <v>50</v>
      </c>
      <c r="AX279" s="381"/>
      <c r="AY279" s="378"/>
      <c r="AZ279" s="378"/>
      <c r="BA279" s="378"/>
      <c r="BB279" s="339">
        <v>1</v>
      </c>
      <c r="BC279" s="378"/>
      <c r="BD279" s="379" cm="1">
        <f t="array" ref="BD279">SUM(AX279:BC279)</f>
        <v>1</v>
      </c>
      <c r="BE279" s="380"/>
      <c r="BF279" s="380"/>
    </row>
    <row r="280" ht="23.95" customHeight="1">
      <c r="AW280" t="s" s="264">
        <v>51</v>
      </c>
      <c r="AX280" s="381"/>
      <c r="AY280" s="378"/>
      <c r="AZ280" s="378"/>
      <c r="BA280" s="382"/>
      <c r="BB280" s="378"/>
      <c r="BC280" s="378"/>
      <c r="BD280" s="379" cm="1">
        <f t="array" ref="BD280">SUM(AX280:BC280)</f>
        <v>0</v>
      </c>
      <c r="BE280" s="380"/>
      <c r="BF280" s="380"/>
    </row>
    <row r="281" ht="23.95" customHeight="1">
      <c r="AW281" t="s" s="264">
        <v>52</v>
      </c>
      <c r="AX281" s="381"/>
      <c r="AY281" s="378"/>
      <c r="AZ281" s="378"/>
      <c r="BA281" s="378"/>
      <c r="BB281" s="287"/>
      <c r="BC281" s="378"/>
      <c r="BD281" s="379" cm="1">
        <f t="array" ref="BD281">SUM(AX281:BC281)</f>
        <v>0</v>
      </c>
      <c r="BE281" s="380"/>
      <c r="BF281" s="380"/>
    </row>
    <row r="282" ht="23.95" customHeight="1">
      <c r="AW282" t="s" s="264">
        <v>115</v>
      </c>
      <c r="AX282" s="346">
        <v>1</v>
      </c>
      <c r="AY282" s="378"/>
      <c r="AZ282" s="287"/>
      <c r="BA282" s="382"/>
      <c r="BB282" s="378"/>
      <c r="BC282" s="378"/>
      <c r="BD282" s="379" cm="1">
        <f t="array" ref="BD282">SUM(AX282:BC282)</f>
        <v>1</v>
      </c>
      <c r="BE282" s="379">
        <v>2</v>
      </c>
      <c r="BF282" s="380"/>
    </row>
    <row r="283" ht="23.95" customHeight="1">
      <c r="AW283" t="s" s="264">
        <v>197</v>
      </c>
      <c r="AX283" s="381"/>
      <c r="AY283" s="378"/>
      <c r="AZ283" s="378"/>
      <c r="BA283" s="382"/>
      <c r="BB283" s="378"/>
      <c r="BC283" s="378"/>
      <c r="BD283" s="379" cm="1">
        <f t="array" ref="BD283">SUM(AX283:BC283)</f>
        <v>0</v>
      </c>
      <c r="BE283" s="380"/>
      <c r="BF283" s="380"/>
    </row>
    <row r="284" ht="23.95" customHeight="1">
      <c r="AW284" t="s" s="264">
        <v>46</v>
      </c>
      <c r="AX284" s="345">
        <v>1</v>
      </c>
      <c r="AY284" s="378"/>
      <c r="AZ284" s="339">
        <v>1</v>
      </c>
      <c r="BA284" s="339">
        <v>1</v>
      </c>
      <c r="BB284" s="378"/>
      <c r="BC284" s="378"/>
      <c r="BD284" s="379" cm="1">
        <f t="array" ref="BD284">SUM(AX284:BC284)</f>
        <v>3</v>
      </c>
      <c r="BE284" s="380"/>
      <c r="BF284" s="380"/>
    </row>
    <row r="285" ht="23.95" customHeight="1">
      <c r="AW285" t="s" s="264">
        <v>191</v>
      </c>
      <c r="AX285" s="381"/>
      <c r="AY285" s="339">
        <v>1</v>
      </c>
      <c r="AZ285" s="339">
        <v>1</v>
      </c>
      <c r="BA285" s="287"/>
      <c r="BB285" s="378"/>
      <c r="BC285" s="339">
        <v>1</v>
      </c>
      <c r="BD285" s="379" cm="1">
        <f t="array" ref="BD285">SUM(AX285:BC285)</f>
        <v>3</v>
      </c>
      <c r="BE285" s="380"/>
      <c r="BF285" s="380"/>
    </row>
    <row r="286" ht="23.95" customHeight="1">
      <c r="AW286" t="s" s="264">
        <v>109</v>
      </c>
      <c r="AX286" s="345">
        <v>1</v>
      </c>
      <c r="AY286" s="339">
        <v>1</v>
      </c>
      <c r="AZ286" s="378"/>
      <c r="BA286" s="339">
        <v>1</v>
      </c>
      <c r="BB286" s="378"/>
      <c r="BC286" s="339">
        <v>1</v>
      </c>
      <c r="BD286" s="379" cm="1">
        <f t="array" ref="BD286">SUM(AX286:BC286)</f>
        <v>4</v>
      </c>
      <c r="BE286" s="380"/>
      <c r="BF286" s="380"/>
    </row>
    <row r="287" ht="23.95" customHeight="1">
      <c r="AW287" t="s" s="264">
        <v>270</v>
      </c>
      <c r="AX287" s="381"/>
      <c r="AY287" s="378"/>
      <c r="AZ287" s="378"/>
      <c r="BA287" s="382"/>
      <c r="BB287" s="378"/>
      <c r="BC287" s="378"/>
      <c r="BD287" s="379" cm="1">
        <f t="array" ref="BD287">SUM(AX287:BC287)</f>
        <v>0</v>
      </c>
      <c r="BE287" s="380"/>
      <c r="BF287" s="380"/>
    </row>
    <row r="288" ht="26.35" customHeight="1">
      <c r="AW288" t="s" s="264">
        <v>272</v>
      </c>
      <c r="AX288" s="381"/>
      <c r="AY288" s="287"/>
      <c r="AZ288" s="378"/>
      <c r="BA288" s="287"/>
      <c r="BB288" s="287"/>
      <c r="BC288" s="378"/>
      <c r="BD288" s="379" cm="1">
        <f t="array" ref="BD288">SUM(AX288:BC288)</f>
        <v>0</v>
      </c>
      <c r="BE288" s="380"/>
      <c r="BF288" s="380"/>
    </row>
    <row r="289" ht="26.35" customHeight="1">
      <c r="AW289" t="s" s="264">
        <v>319</v>
      </c>
      <c r="AX289" s="381"/>
      <c r="AY289" s="378"/>
      <c r="AZ289" s="378"/>
      <c r="BA289" s="382"/>
      <c r="BB289" s="378"/>
      <c r="BC289" s="378"/>
      <c r="BD289" s="379" cm="1">
        <f t="array" ref="BD289">SUM(AX289:BC289)</f>
        <v>0</v>
      </c>
      <c r="BE289" s="380"/>
      <c r="BF289" s="380"/>
    </row>
    <row r="290" ht="26.35" customHeight="1">
      <c r="AW290" t="s" s="264">
        <v>352</v>
      </c>
      <c r="AX290" s="286"/>
      <c r="AY290" s="378"/>
      <c r="AZ290" s="287"/>
      <c r="BA290" s="287"/>
      <c r="BB290" s="378"/>
      <c r="BC290" s="287"/>
      <c r="BD290" s="379" cm="1">
        <f t="array" ref="BD290">SUM(AX290:BC290)</f>
        <v>0</v>
      </c>
      <c r="BE290" s="380"/>
      <c r="BF290" s="380"/>
    </row>
    <row r="291" ht="26.35" customHeight="1">
      <c r="AW291" t="s" s="264">
        <v>349</v>
      </c>
      <c r="AX291" s="345">
        <v>1</v>
      </c>
      <c r="AY291" s="339">
        <v>1</v>
      </c>
      <c r="AZ291" s="339">
        <v>1</v>
      </c>
      <c r="BA291" s="339">
        <v>1</v>
      </c>
      <c r="BB291" s="378"/>
      <c r="BC291" s="339">
        <v>1</v>
      </c>
      <c r="BD291" s="379" cm="1">
        <f t="array" ref="BD291">SUM(AX291:BC291)</f>
        <v>5</v>
      </c>
      <c r="BE291" s="380"/>
      <c r="BF291" s="380"/>
    </row>
    <row r="292" ht="26.35" customHeight="1">
      <c r="AW292" t="s" s="264">
        <v>358</v>
      </c>
      <c r="AX292" s="381"/>
      <c r="AY292" s="378"/>
      <c r="AZ292" s="339">
        <v>1</v>
      </c>
      <c r="BA292" s="287"/>
      <c r="BB292" s="378"/>
      <c r="BC292" s="378"/>
      <c r="BD292" s="379" cm="1">
        <f t="array" ref="BD292">SUM(AX292:BC292)</f>
        <v>1</v>
      </c>
      <c r="BE292" s="380"/>
      <c r="BF292" s="380"/>
    </row>
    <row r="293" ht="26.35" customHeight="1">
      <c r="AW293" t="s" s="264">
        <v>359</v>
      </c>
      <c r="AX293" s="286"/>
      <c r="AY293" s="287"/>
      <c r="AZ293" s="287"/>
      <c r="BA293" s="287"/>
      <c r="BB293" s="287"/>
      <c r="BC293" s="378"/>
      <c r="BD293" s="379" cm="1">
        <f t="array" ref="BD293">SUM(AX293:BC293)</f>
        <v>0</v>
      </c>
      <c r="BE293" s="380"/>
      <c r="BF293" s="380"/>
    </row>
    <row r="294" ht="26.35" customHeight="1">
      <c r="AW294" t="s" s="264">
        <v>360</v>
      </c>
      <c r="AX294" s="381"/>
      <c r="AY294" s="287"/>
      <c r="AZ294" s="287"/>
      <c r="BA294" s="287"/>
      <c r="BB294" s="287"/>
      <c r="BC294" s="378"/>
      <c r="BD294" s="379" cm="1">
        <f t="array" ref="BD294">SUM(AX294:BC294)</f>
        <v>0</v>
      </c>
      <c r="BE294" s="380"/>
      <c r="BF294" s="380"/>
    </row>
    <row r="295" ht="26.35" customHeight="1">
      <c r="AW295" t="s" s="264">
        <v>363</v>
      </c>
      <c r="AX295" s="286"/>
      <c r="AY295" s="287"/>
      <c r="AZ295" s="287"/>
      <c r="BA295" s="287"/>
      <c r="BB295" s="287"/>
      <c r="BC295" s="287"/>
      <c r="BD295" s="379" cm="1">
        <f t="array" ref="BD295">SUM(AX295:BC295)</f>
        <v>0</v>
      </c>
      <c r="BE295" s="380"/>
      <c r="BF295" s="380"/>
    </row>
    <row r="296" ht="26.35" customHeight="1">
      <c r="AW296" t="s" s="264">
        <v>355</v>
      </c>
      <c r="AX296" s="345">
        <v>1</v>
      </c>
      <c r="AY296" s="287"/>
      <c r="AZ296" s="339">
        <v>1</v>
      </c>
      <c r="BA296" s="339">
        <v>1</v>
      </c>
      <c r="BB296" s="339">
        <v>1</v>
      </c>
      <c r="BC296" s="287"/>
      <c r="BD296" s="379" cm="1">
        <f t="array" ref="BD296">SUM(AX296:BC296)</f>
        <v>4</v>
      </c>
      <c r="BE296" s="380"/>
      <c r="BF296" s="380"/>
    </row>
    <row r="297" ht="26.35" customHeight="1">
      <c r="AW297" t="s" s="264">
        <v>357</v>
      </c>
      <c r="AX297" s="286"/>
      <c r="AY297" s="287"/>
      <c r="AZ297" s="287"/>
      <c r="BA297" s="287"/>
      <c r="BB297" s="287"/>
      <c r="BC297" s="287"/>
      <c r="BD297" s="379" cm="1">
        <f t="array" ref="BD297">SUM(AX297:BC297)</f>
        <v>0</v>
      </c>
      <c r="BE297" s="380"/>
      <c r="BF297" s="380"/>
    </row>
    <row r="298" ht="26.35" customHeight="1">
      <c r="AW298" t="s" s="255">
        <v>365</v>
      </c>
      <c r="AX298" s="345">
        <v>1</v>
      </c>
      <c r="AY298" s="287"/>
      <c r="AZ298" s="287"/>
      <c r="BA298" s="339">
        <v>1</v>
      </c>
      <c r="BB298" s="287"/>
      <c r="BC298" s="287"/>
      <c r="BD298" s="379" cm="1">
        <f t="array" ref="BD298">SUM(AX298:BC298)</f>
        <v>2</v>
      </c>
      <c r="BE298" s="380"/>
      <c r="BF298" s="380"/>
    </row>
    <row r="299" ht="26.35" customHeight="1">
      <c r="AW299" t="s" s="264">
        <v>368</v>
      </c>
      <c r="AX299" s="435">
        <v>2</v>
      </c>
      <c r="AY299" s="287"/>
      <c r="AZ299" s="433">
        <v>2</v>
      </c>
      <c r="BA299" s="339">
        <v>1</v>
      </c>
      <c r="BB299" s="339">
        <v>2</v>
      </c>
      <c r="BC299" s="339">
        <v>1</v>
      </c>
      <c r="BD299" s="379" cm="1">
        <f t="array" ref="BD299">SUM(AX299:BC299)</f>
        <v>8</v>
      </c>
      <c r="BE299" s="380"/>
      <c r="BF299" s="380"/>
    </row>
    <row r="300" ht="26.35" customHeight="1">
      <c r="AW300" t="s" s="264">
        <v>371</v>
      </c>
      <c r="AX300" s="435">
        <v>2</v>
      </c>
      <c r="AY300" s="339">
        <v>1</v>
      </c>
      <c r="AZ300" s="433">
        <v>2</v>
      </c>
      <c r="BA300" s="339">
        <v>1</v>
      </c>
      <c r="BB300" s="339">
        <v>1</v>
      </c>
      <c r="BC300" s="339">
        <v>1</v>
      </c>
      <c r="BD300" s="379" cm="1">
        <f t="array" ref="BD300">SUM(AX300:BC300)</f>
        <v>8</v>
      </c>
      <c r="BE300" s="380"/>
      <c r="BF300" s="380"/>
    </row>
    <row r="301" ht="26.35" customHeight="1">
      <c r="AW301" t="s" s="264">
        <v>437</v>
      </c>
      <c r="AX301" s="345">
        <v>1</v>
      </c>
      <c r="AY301" s="339">
        <v>1</v>
      </c>
      <c r="AZ301" s="339">
        <v>1</v>
      </c>
      <c r="BA301" s="287"/>
      <c r="BB301" s="287"/>
      <c r="BC301" s="287"/>
      <c r="BD301" s="379" cm="1">
        <f t="array" ref="BD301">SUM(AX301:BC301)</f>
        <v>3</v>
      </c>
      <c r="BE301" s="380"/>
      <c r="BF301" s="380"/>
    </row>
    <row r="302" ht="26.35" customHeight="1">
      <c r="AW302" t="s" s="264">
        <v>439</v>
      </c>
      <c r="AX302" s="286"/>
      <c r="AY302" s="287"/>
      <c r="AZ302" s="287"/>
      <c r="BA302" s="287"/>
      <c r="BB302" s="287"/>
      <c r="BC302" s="287"/>
      <c r="BD302" s="379" cm="1">
        <f t="array" ref="BD302">SUM(AX302:BC302)</f>
        <v>0</v>
      </c>
      <c r="BE302" s="380"/>
      <c r="BF302" s="380"/>
    </row>
    <row r="303" ht="26.35" customHeight="1">
      <c r="AW303" t="s" s="264">
        <v>444</v>
      </c>
      <c r="AX303" s="286"/>
      <c r="AY303" s="287"/>
      <c r="AZ303" s="287"/>
      <c r="BA303" s="287"/>
      <c r="BB303" s="287"/>
      <c r="BC303" s="287"/>
      <c r="BD303" s="379" cm="1">
        <f t="array" ref="BD303">SUM(AX303:BC303)</f>
        <v>0</v>
      </c>
      <c r="BE303" s="380"/>
      <c r="BF303" s="380"/>
    </row>
    <row r="304" ht="26.35" customHeight="1">
      <c r="AW304" t="s" s="264">
        <v>102</v>
      </c>
      <c r="AX304" s="381"/>
      <c r="AY304" s="378"/>
      <c r="AZ304" s="378"/>
      <c r="BA304" s="287"/>
      <c r="BB304" s="287"/>
      <c r="BC304" s="378"/>
      <c r="BD304" s="379" cm="1">
        <f t="array" ref="BD304">SUM(AX304:BC304)</f>
        <v>0</v>
      </c>
      <c r="BE304" s="380"/>
      <c r="BF304" s="380"/>
    </row>
    <row r="305" ht="26.35" customHeight="1">
      <c r="AW305" t="s" s="264">
        <v>102</v>
      </c>
      <c r="AX305" s="381"/>
      <c r="AY305" s="378"/>
      <c r="AZ305" s="378"/>
      <c r="BA305" s="378"/>
      <c r="BB305" s="378"/>
      <c r="BC305" s="436"/>
      <c r="BD305" s="379" cm="1">
        <f t="array" ref="BD305">SUM(AX305:BC305)</f>
        <v>0</v>
      </c>
      <c r="BE305" s="380"/>
      <c r="BF305" s="380"/>
    </row>
    <row r="306" ht="32.35" customHeight="1">
      <c r="AW306" t="s" s="386">
        <v>30</v>
      </c>
      <c r="AX306" s="387" cm="1">
        <f t="array" ref="AX306">SUM(AX252:AX304)</f>
        <v>15</v>
      </c>
      <c r="AY306" s="379" cm="1">
        <f t="array" ref="AY306">SUM(AY252:AY304)</f>
        <v>12</v>
      </c>
      <c r="AZ306" s="379" cm="1">
        <f t="array" ref="AZ306">SUM(AZ252:AZ304)</f>
        <v>16</v>
      </c>
      <c r="BA306" s="379" cm="1">
        <f t="array" ref="BA306">SUM(BA252:BA304)</f>
        <v>13</v>
      </c>
      <c r="BB306" s="379" cm="1">
        <f t="array" ref="BB306">SUM(BB252:BB304)</f>
        <v>10</v>
      </c>
      <c r="BC306" s="379" cm="1">
        <f t="array" ref="BC306">SUM(BC252:BC304)</f>
        <v>7</v>
      </c>
      <c r="BD306" s="379" cm="1">
        <f t="array" ref="BD306">SUM(BD252:BD304)</f>
        <v>73</v>
      </c>
      <c r="BE306" s="380"/>
      <c r="BF306" s="380"/>
    </row>
    <row r="308" ht="27.65" customHeight="1">
      <c r="BG308" t="s" s="2">
        <v>94</v>
      </c>
      <c r="BH308" s="2"/>
      <c r="BI308" s="2"/>
      <c r="BJ308" s="2"/>
      <c r="BK308" s="2"/>
      <c r="BL308" s="2"/>
      <c r="BM308" s="2"/>
      <c r="BN308" s="2"/>
      <c r="BO308" s="2"/>
      <c r="BP308" s="2"/>
    </row>
    <row r="309" ht="41" customHeight="1">
      <c r="BG309" s="371"/>
      <c r="BH309" t="s" s="372">
        <v>486</v>
      </c>
      <c r="BI309" t="s" s="372">
        <v>487</v>
      </c>
      <c r="BJ309" t="s" s="372">
        <v>488</v>
      </c>
      <c r="BK309" t="s" s="372">
        <v>489</v>
      </c>
      <c r="BL309" t="s" s="372">
        <v>490</v>
      </c>
      <c r="BM309" t="s" s="372">
        <v>491</v>
      </c>
      <c r="BN309" t="s" s="372">
        <v>53</v>
      </c>
      <c r="BO309" t="s" s="372">
        <v>67</v>
      </c>
      <c r="BP309" t="s" s="372">
        <v>160</v>
      </c>
    </row>
    <row r="310" ht="25.75" customHeight="1">
      <c r="BG310" t="s" s="333">
        <v>35</v>
      </c>
      <c r="BH310" s="374"/>
      <c r="BI310" s="375"/>
      <c r="BJ310" s="375"/>
      <c r="BK310" s="375"/>
      <c r="BL310" s="375"/>
      <c r="BM310" s="336"/>
      <c r="BN310" s="376" cm="1">
        <f t="array" ref="BN310">SUM(BH310:BM310)</f>
        <v>0</v>
      </c>
      <c r="BO310" s="377"/>
      <c r="BP310" s="377"/>
    </row>
    <row r="311" ht="25.5" customHeight="1">
      <c r="BG311" t="s" s="264">
        <v>47</v>
      </c>
      <c r="BH311" s="345">
        <v>1</v>
      </c>
      <c r="BI311" s="339">
        <v>1</v>
      </c>
      <c r="BJ311" s="339">
        <v>1</v>
      </c>
      <c r="BK311" s="287"/>
      <c r="BL311" s="287"/>
      <c r="BM311" s="378"/>
      <c r="BN311" s="379" cm="1">
        <f t="array" ref="BN311">SUM(BH311:BM311)</f>
        <v>3</v>
      </c>
      <c r="BO311" s="380"/>
      <c r="BP311" s="380"/>
    </row>
    <row r="312" ht="25.5" customHeight="1">
      <c r="BG312" t="s" s="341">
        <v>10</v>
      </c>
      <c r="BH312" s="381"/>
      <c r="BI312" s="287"/>
      <c r="BJ312" s="343">
        <v>1</v>
      </c>
      <c r="BK312" s="343">
        <v>1</v>
      </c>
      <c r="BL312" s="343">
        <v>1</v>
      </c>
      <c r="BM312" s="343">
        <v>1</v>
      </c>
      <c r="BN312" s="379" cm="1">
        <f t="array" ref="BN312">SUM(BH312:BM312)</f>
        <v>4</v>
      </c>
      <c r="BO312" s="380"/>
      <c r="BP312" s="380"/>
    </row>
    <row r="313" ht="20.4" customHeight="1">
      <c r="BG313" t="s" s="264">
        <v>32</v>
      </c>
      <c r="BH313" s="381"/>
      <c r="BI313" s="378"/>
      <c r="BJ313" s="378"/>
      <c r="BK313" s="382"/>
      <c r="BL313" s="378"/>
      <c r="BM313" s="378"/>
      <c r="BN313" s="379" cm="1">
        <f t="array" ref="BN313">SUM(BH313:BM313)</f>
        <v>0</v>
      </c>
      <c r="BO313" s="380"/>
      <c r="BP313" s="380"/>
    </row>
    <row r="314" ht="25.5" customHeight="1">
      <c r="BG314" t="s" s="264">
        <v>16</v>
      </c>
      <c r="BH314" s="381"/>
      <c r="BI314" s="287"/>
      <c r="BJ314" s="287"/>
      <c r="BK314" s="287"/>
      <c r="BL314" s="287"/>
      <c r="BM314" s="378"/>
      <c r="BN314" s="379" cm="1">
        <f t="array" ref="BN314">SUM(BH314:BM314)</f>
        <v>0</v>
      </c>
      <c r="BO314" s="380"/>
      <c r="BP314" s="380"/>
    </row>
    <row r="315" ht="25.5" customHeight="1">
      <c r="BG315" t="s" s="264">
        <v>18</v>
      </c>
      <c r="BH315" s="381"/>
      <c r="BI315" s="378"/>
      <c r="BJ315" s="382"/>
      <c r="BK315" s="378"/>
      <c r="BL315" s="378"/>
      <c r="BM315" s="378"/>
      <c r="BN315" s="379" cm="1">
        <f t="array" ref="BN315">SUM(BH315:BM315)</f>
        <v>0</v>
      </c>
      <c r="BO315" s="380"/>
      <c r="BP315" s="380"/>
    </row>
    <row r="316" ht="25.5" customHeight="1">
      <c r="BG316" t="s" s="264">
        <v>287</v>
      </c>
      <c r="BH316" s="381"/>
      <c r="BI316" s="378"/>
      <c r="BJ316" s="378"/>
      <c r="BK316" s="378"/>
      <c r="BL316" s="378"/>
      <c r="BM316" s="378"/>
      <c r="BN316" s="379" cm="1">
        <f t="array" ref="BN316">SUM(BH316:BM316)</f>
        <v>0</v>
      </c>
      <c r="BO316" s="380"/>
      <c r="BP316" s="380"/>
    </row>
    <row r="317" ht="25.5" customHeight="1">
      <c r="BG317" t="s" s="264">
        <v>45</v>
      </c>
      <c r="BH317" s="345">
        <v>1</v>
      </c>
      <c r="BI317" s="339">
        <v>1</v>
      </c>
      <c r="BJ317" s="287"/>
      <c r="BK317" s="339">
        <v>1</v>
      </c>
      <c r="BL317" s="378"/>
      <c r="BM317" s="339">
        <v>1</v>
      </c>
      <c r="BN317" s="379" cm="1">
        <f t="array" ref="BN317">SUM(BH317:BM317)</f>
        <v>4</v>
      </c>
      <c r="BO317" s="380"/>
      <c r="BP317" s="380"/>
    </row>
    <row r="318" ht="25.5" customHeight="1">
      <c r="BG318" t="s" s="264">
        <v>154</v>
      </c>
      <c r="BH318" s="381"/>
      <c r="BI318" s="339">
        <v>1</v>
      </c>
      <c r="BJ318" s="287"/>
      <c r="BK318" s="378"/>
      <c r="BL318" s="378"/>
      <c r="BM318" s="378"/>
      <c r="BN318" s="379" cm="1">
        <f t="array" ref="BN318">SUM(BH318:BM318)</f>
        <v>1</v>
      </c>
      <c r="BO318" s="380"/>
      <c r="BP318" s="380"/>
    </row>
    <row r="319" ht="25.5" customHeight="1">
      <c r="BG319" t="s" s="264">
        <v>257</v>
      </c>
      <c r="BH319" s="286"/>
      <c r="BI319" s="287"/>
      <c r="BJ319" s="287"/>
      <c r="BK319" s="287"/>
      <c r="BL319" s="287"/>
      <c r="BM319" s="378"/>
      <c r="BN319" s="379" cm="1">
        <f t="array" ref="BN319">SUM(BH319:BM319)</f>
        <v>0</v>
      </c>
      <c r="BO319" s="380"/>
      <c r="BP319" s="380"/>
    </row>
    <row r="320" ht="25.5" customHeight="1">
      <c r="BG320" t="s" s="264">
        <v>391</v>
      </c>
      <c r="BH320" s="381"/>
      <c r="BI320" s="378"/>
      <c r="BJ320" s="287"/>
      <c r="BK320" s="382"/>
      <c r="BL320" s="287"/>
      <c r="BM320" s="287"/>
      <c r="BN320" s="379" cm="1">
        <f t="array" ref="BN320">SUM(BH320:BM320)</f>
        <v>0</v>
      </c>
      <c r="BO320" s="380"/>
      <c r="BP320" s="380"/>
    </row>
    <row r="321" ht="25.5" customHeight="1">
      <c r="BG321" t="s" s="264">
        <v>393</v>
      </c>
      <c r="BH321" s="381"/>
      <c r="BI321" s="378"/>
      <c r="BJ321" s="378"/>
      <c r="BK321" s="382"/>
      <c r="BL321" s="378"/>
      <c r="BM321" s="378"/>
      <c r="BN321" s="379" cm="1">
        <f t="array" ref="BN321">SUM(BH321:BM321)</f>
        <v>0</v>
      </c>
      <c r="BO321" s="380"/>
      <c r="BP321" s="380"/>
    </row>
    <row r="322" ht="25.5" customHeight="1">
      <c r="BG322" t="s" s="264">
        <v>395</v>
      </c>
      <c r="BH322" s="381"/>
      <c r="BI322" s="378"/>
      <c r="BJ322" s="378"/>
      <c r="BK322" s="378"/>
      <c r="BL322" s="378"/>
      <c r="BM322" s="378"/>
      <c r="BN322" s="379" cm="1">
        <f t="array" ref="BN322">SUM(BH322:BM322)</f>
        <v>0</v>
      </c>
      <c r="BO322" s="380"/>
      <c r="BP322" s="380"/>
    </row>
    <row r="323" ht="25.5" customHeight="1">
      <c r="BG323" t="s" s="264">
        <v>155</v>
      </c>
      <c r="BH323" s="286"/>
      <c r="BI323" s="287"/>
      <c r="BJ323" s="287"/>
      <c r="BK323" s="382"/>
      <c r="BL323" s="378"/>
      <c r="BM323" s="378"/>
      <c r="BN323" s="379" cm="1">
        <f t="array" ref="BN323">SUM(BH323:BM323)</f>
        <v>0</v>
      </c>
      <c r="BO323" s="380"/>
      <c r="BP323" s="380"/>
    </row>
    <row r="324" ht="25.5" customHeight="1">
      <c r="BG324" t="s" s="341">
        <v>37</v>
      </c>
      <c r="BH324" s="381"/>
      <c r="BI324" s="343">
        <v>1</v>
      </c>
      <c r="BJ324" s="378"/>
      <c r="BK324" s="343">
        <v>1</v>
      </c>
      <c r="BL324" s="378"/>
      <c r="BM324" s="343">
        <v>1</v>
      </c>
      <c r="BN324" s="379" cm="1">
        <f t="array" ref="BN324">SUM(BH324:BM324)</f>
        <v>3</v>
      </c>
      <c r="BO324" s="380"/>
      <c r="BP324" s="380"/>
    </row>
    <row r="325" ht="25.5" customHeight="1">
      <c r="BG325" t="s" s="341">
        <v>469</v>
      </c>
      <c r="BH325" s="381"/>
      <c r="BI325" s="287"/>
      <c r="BJ325" s="378"/>
      <c r="BK325" s="382"/>
      <c r="BL325" s="378"/>
      <c r="BM325" s="378"/>
      <c r="BN325" s="379" cm="1">
        <f t="array" ref="BN325">SUM(BH325:BM325)</f>
        <v>0</v>
      </c>
      <c r="BO325" s="380"/>
      <c r="BP325" s="380"/>
    </row>
    <row r="326" ht="25.5" customHeight="1">
      <c r="BG326" t="s" s="264">
        <v>19</v>
      </c>
      <c r="BH326" s="381"/>
      <c r="BI326" s="378"/>
      <c r="BJ326" s="378"/>
      <c r="BK326" s="382"/>
      <c r="BL326" s="378"/>
      <c r="BM326" s="378"/>
      <c r="BN326" s="379" cm="1">
        <f t="array" ref="BN326">SUM(BH326:BM326)</f>
        <v>0</v>
      </c>
      <c r="BO326" s="380"/>
      <c r="BP326" s="380"/>
    </row>
    <row r="327" ht="25.5" customHeight="1">
      <c r="BG327" t="s" s="264">
        <v>239</v>
      </c>
      <c r="BH327" s="381"/>
      <c r="BI327" s="378"/>
      <c r="BJ327" s="378"/>
      <c r="BK327" s="382"/>
      <c r="BL327" s="378"/>
      <c r="BM327" s="378"/>
      <c r="BN327" s="379" cm="1">
        <f t="array" ref="BN327">SUM(BH327:BM327)</f>
        <v>0</v>
      </c>
      <c r="BO327" s="380"/>
      <c r="BP327" s="380"/>
    </row>
    <row r="328" ht="25.5" customHeight="1">
      <c r="BG328" t="s" s="264">
        <v>262</v>
      </c>
      <c r="BH328" s="345">
        <v>1</v>
      </c>
      <c r="BI328" s="339">
        <v>1</v>
      </c>
      <c r="BJ328" s="287"/>
      <c r="BK328" s="339">
        <v>1</v>
      </c>
      <c r="BL328" s="287"/>
      <c r="BM328" s="339">
        <v>1</v>
      </c>
      <c r="BN328" s="379" cm="1">
        <f t="array" ref="BN328">SUM(BH328:BM328)</f>
        <v>4</v>
      </c>
      <c r="BO328" s="380"/>
      <c r="BP328" s="380"/>
    </row>
    <row r="329" ht="27.05" customHeight="1">
      <c r="BG329" t="s" s="264">
        <v>265</v>
      </c>
      <c r="BH329" s="286"/>
      <c r="BI329" s="287"/>
      <c r="BJ329" s="287"/>
      <c r="BK329" s="382"/>
      <c r="BL329" s="287"/>
      <c r="BM329" s="378"/>
      <c r="BN329" s="379" cm="1">
        <f t="array" ref="BN329">SUM(BH329:BM329)</f>
        <v>0</v>
      </c>
      <c r="BO329" s="380"/>
      <c r="BP329" s="380"/>
    </row>
    <row r="330" ht="25.5" customHeight="1">
      <c r="BG330" t="s" s="264">
        <v>250</v>
      </c>
      <c r="BH330" s="286"/>
      <c r="BI330" s="287"/>
      <c r="BJ330" s="287"/>
      <c r="BK330" s="287"/>
      <c r="BL330" s="287"/>
      <c r="BM330" s="378"/>
      <c r="BN330" s="379" cm="1">
        <f t="array" ref="BN330">SUM(BH330:BM330)</f>
        <v>0</v>
      </c>
      <c r="BO330" s="380"/>
      <c r="BP330" s="380"/>
    </row>
    <row r="331" ht="25.5" customHeight="1">
      <c r="BG331" t="s" s="264">
        <v>268</v>
      </c>
      <c r="BH331" s="381"/>
      <c r="BI331" s="378"/>
      <c r="BJ331" s="378"/>
      <c r="BK331" s="382"/>
      <c r="BL331" s="378"/>
      <c r="BM331" s="378"/>
      <c r="BN331" s="379" cm="1">
        <f t="array" ref="BN331">SUM(BH331:BM331)</f>
        <v>0</v>
      </c>
      <c r="BO331" s="380"/>
      <c r="BP331" s="380"/>
    </row>
    <row r="332" ht="25.5" customHeight="1">
      <c r="BG332" t="s" s="264">
        <v>156</v>
      </c>
      <c r="BH332" s="345">
        <v>1</v>
      </c>
      <c r="BI332" s="339">
        <v>1</v>
      </c>
      <c r="BJ332" s="339">
        <v>1</v>
      </c>
      <c r="BK332" s="382"/>
      <c r="BL332" s="378"/>
      <c r="BM332" s="378"/>
      <c r="BN332" s="379" cm="1">
        <f t="array" ref="BN332">SUM(BH332:BM332)</f>
        <v>3</v>
      </c>
      <c r="BO332" s="380"/>
      <c r="BP332" s="380"/>
    </row>
    <row r="333" ht="25.5" customHeight="1">
      <c r="BG333" t="s" s="264">
        <v>259</v>
      </c>
      <c r="BH333" s="381"/>
      <c r="BI333" s="378"/>
      <c r="BJ333" s="378"/>
      <c r="BK333" s="382"/>
      <c r="BL333" s="378"/>
      <c r="BM333" s="378"/>
      <c r="BN333" s="379" cm="1">
        <f t="array" ref="BN333">SUM(BH333:BM333)</f>
        <v>0</v>
      </c>
      <c r="BO333" s="380"/>
      <c r="BP333" s="380"/>
    </row>
    <row r="334" ht="25.5" customHeight="1">
      <c r="BG334" t="s" s="264">
        <v>274</v>
      </c>
      <c r="BH334" s="381"/>
      <c r="BI334" s="378"/>
      <c r="BJ334" s="378"/>
      <c r="BK334" s="382"/>
      <c r="BL334" s="378"/>
      <c r="BM334" s="378"/>
      <c r="BN334" s="379" cm="1">
        <f t="array" ref="BN334">SUM(BH334:BM334)</f>
        <v>0</v>
      </c>
      <c r="BO334" s="380"/>
      <c r="BP334" s="380"/>
    </row>
    <row r="335" ht="25.5" customHeight="1">
      <c r="BG335" t="s" s="264">
        <v>48</v>
      </c>
      <c r="BH335" s="381"/>
      <c r="BI335" s="378"/>
      <c r="BJ335" s="392">
        <v>1</v>
      </c>
      <c r="BK335" s="382"/>
      <c r="BL335" s="378"/>
      <c r="BM335" s="378"/>
      <c r="BN335" s="379" cm="1">
        <f t="array" ref="BN335">SUM(BH335:BM335)</f>
        <v>1</v>
      </c>
      <c r="BO335" s="380"/>
      <c r="BP335" s="380"/>
    </row>
    <row r="336" ht="25.5" customHeight="1">
      <c r="BG336" t="s" s="264">
        <v>49</v>
      </c>
      <c r="BH336" s="381"/>
      <c r="BI336" s="378"/>
      <c r="BJ336" s="392">
        <v>1</v>
      </c>
      <c r="BK336" s="382"/>
      <c r="BL336" s="378"/>
      <c r="BM336" s="378"/>
      <c r="BN336" s="379" cm="1">
        <f t="array" ref="BN336">SUM(BH336:BM336)</f>
        <v>1</v>
      </c>
      <c r="BO336" s="380"/>
      <c r="BP336" s="380"/>
    </row>
    <row r="337" ht="25.5" customHeight="1">
      <c r="BG337" t="s" s="264">
        <v>50</v>
      </c>
      <c r="BH337" s="381"/>
      <c r="BI337" s="378"/>
      <c r="BJ337" s="378"/>
      <c r="BK337" s="378"/>
      <c r="BL337" s="339">
        <v>1</v>
      </c>
      <c r="BM337" s="378"/>
      <c r="BN337" s="379" cm="1">
        <f t="array" ref="BN337">SUM(BH337:BM337)</f>
        <v>1</v>
      </c>
      <c r="BO337" s="380"/>
      <c r="BP337" s="380"/>
    </row>
    <row r="338" ht="25.5" customHeight="1">
      <c r="BG338" t="s" s="264">
        <v>51</v>
      </c>
      <c r="BH338" s="381"/>
      <c r="BI338" s="378"/>
      <c r="BJ338" s="378"/>
      <c r="BK338" s="382"/>
      <c r="BL338" s="378"/>
      <c r="BM338" s="378"/>
      <c r="BN338" s="379" cm="1">
        <f t="array" ref="BN338">SUM(BH338:BM338)</f>
        <v>0</v>
      </c>
      <c r="BO338" s="380"/>
      <c r="BP338" s="380"/>
    </row>
    <row r="339" ht="25.5" customHeight="1">
      <c r="BG339" t="s" s="264">
        <v>52</v>
      </c>
      <c r="BH339" s="381"/>
      <c r="BI339" s="378"/>
      <c r="BJ339" s="378"/>
      <c r="BK339" s="378"/>
      <c r="BL339" s="287"/>
      <c r="BM339" s="378"/>
      <c r="BN339" s="379" cm="1">
        <f t="array" ref="BN339">SUM(BH339:BM339)</f>
        <v>0</v>
      </c>
      <c r="BO339" s="380"/>
      <c r="BP339" s="380"/>
    </row>
    <row r="340" ht="25.5" customHeight="1">
      <c r="BG340" t="s" s="264">
        <v>115</v>
      </c>
      <c r="BH340" s="381"/>
      <c r="BI340" s="378"/>
      <c r="BJ340" s="392">
        <v>1</v>
      </c>
      <c r="BK340" s="382"/>
      <c r="BL340" s="378"/>
      <c r="BM340" s="378"/>
      <c r="BN340" s="379" cm="1">
        <f t="array" ref="BN340">SUM(BH340:BM340)</f>
        <v>1</v>
      </c>
      <c r="BO340" s="379">
        <v>2</v>
      </c>
      <c r="BP340" s="380"/>
    </row>
    <row r="341" ht="25.5" customHeight="1">
      <c r="BG341" t="s" s="264">
        <v>197</v>
      </c>
      <c r="BH341" s="381"/>
      <c r="BI341" s="378"/>
      <c r="BJ341" s="378"/>
      <c r="BK341" s="382"/>
      <c r="BL341" s="378"/>
      <c r="BM341" s="378"/>
      <c r="BN341" s="379" cm="1">
        <f t="array" ref="BN341">SUM(BH341:BM341)</f>
        <v>0</v>
      </c>
      <c r="BO341" s="380"/>
      <c r="BP341" s="380"/>
    </row>
    <row r="342" ht="25.5" customHeight="1">
      <c r="BG342" t="s" s="264">
        <v>46</v>
      </c>
      <c r="BH342" s="345">
        <v>1</v>
      </c>
      <c r="BI342" s="339">
        <v>1</v>
      </c>
      <c r="BJ342" s="378"/>
      <c r="BK342" s="339">
        <v>1</v>
      </c>
      <c r="BL342" s="378"/>
      <c r="BM342" s="339">
        <v>1</v>
      </c>
      <c r="BN342" s="379" cm="1">
        <f t="array" ref="BN342">SUM(BH342:BM342)</f>
        <v>4</v>
      </c>
      <c r="BO342" s="380"/>
      <c r="BP342" s="380"/>
    </row>
    <row r="343" ht="25.5" customHeight="1">
      <c r="BG343" t="s" s="264">
        <v>191</v>
      </c>
      <c r="BH343" s="345">
        <v>1</v>
      </c>
      <c r="BI343" s="287"/>
      <c r="BJ343" s="339">
        <v>1</v>
      </c>
      <c r="BK343" s="287"/>
      <c r="BL343" s="339">
        <v>1</v>
      </c>
      <c r="BM343" s="378"/>
      <c r="BN343" s="379" cm="1">
        <f t="array" ref="BN343">SUM(BH343:BM343)</f>
        <v>3</v>
      </c>
      <c r="BO343" s="380"/>
      <c r="BP343" s="380"/>
    </row>
    <row r="344" ht="25.5" customHeight="1">
      <c r="BG344" t="s" s="264">
        <v>109</v>
      </c>
      <c r="BH344" s="345">
        <v>1</v>
      </c>
      <c r="BI344" s="339">
        <v>1</v>
      </c>
      <c r="BJ344" s="378"/>
      <c r="BK344" s="339">
        <v>1</v>
      </c>
      <c r="BL344" s="378"/>
      <c r="BM344" s="339">
        <v>1</v>
      </c>
      <c r="BN344" s="379" cm="1">
        <f t="array" ref="BN344">SUM(BH344:BM344)</f>
        <v>4</v>
      </c>
      <c r="BO344" s="380"/>
      <c r="BP344" s="380"/>
    </row>
    <row r="345" ht="25.5" customHeight="1">
      <c r="BG345" t="s" s="264">
        <v>270</v>
      </c>
      <c r="BH345" s="381"/>
      <c r="BI345" s="378"/>
      <c r="BJ345" s="378"/>
      <c r="BK345" s="382"/>
      <c r="BL345" s="378"/>
      <c r="BM345" s="378"/>
      <c r="BN345" s="379" cm="1">
        <f t="array" ref="BN345">SUM(BH345:BM345)</f>
        <v>0</v>
      </c>
      <c r="BO345" s="380"/>
      <c r="BP345" s="380"/>
    </row>
    <row r="346" ht="25.5" customHeight="1">
      <c r="BG346" t="s" s="264">
        <v>272</v>
      </c>
      <c r="BH346" s="381"/>
      <c r="BI346" s="287"/>
      <c r="BJ346" s="378"/>
      <c r="BK346" s="287"/>
      <c r="BL346" s="287"/>
      <c r="BM346" s="378"/>
      <c r="BN346" s="379" cm="1">
        <f t="array" ref="BN346">SUM(BH346:BM346)</f>
        <v>0</v>
      </c>
      <c r="BO346" s="380"/>
      <c r="BP346" s="380"/>
    </row>
    <row r="347" ht="25.5" customHeight="1">
      <c r="BG347" t="s" s="264">
        <v>319</v>
      </c>
      <c r="BH347" s="381"/>
      <c r="BI347" s="378"/>
      <c r="BJ347" s="378"/>
      <c r="BK347" s="382"/>
      <c r="BL347" s="378"/>
      <c r="BM347" s="378"/>
      <c r="BN347" s="379" cm="1">
        <f t="array" ref="BN347">SUM(BH347:BM347)</f>
        <v>0</v>
      </c>
      <c r="BO347" s="380"/>
      <c r="BP347" s="380"/>
    </row>
    <row r="348" ht="25.5" customHeight="1">
      <c r="BG348" t="s" s="264">
        <v>352</v>
      </c>
      <c r="BH348" s="345">
        <v>1</v>
      </c>
      <c r="BI348" s="339">
        <v>2</v>
      </c>
      <c r="BJ348" s="339">
        <v>1</v>
      </c>
      <c r="BK348" s="287"/>
      <c r="BL348" s="339">
        <v>1</v>
      </c>
      <c r="BM348" s="287"/>
      <c r="BN348" s="379" cm="1">
        <f t="array" ref="BN348">SUM(BH348:BM348)</f>
        <v>5</v>
      </c>
      <c r="BO348" s="380"/>
      <c r="BP348" s="380"/>
    </row>
    <row r="349" ht="25.5" customHeight="1">
      <c r="BG349" t="s" s="264">
        <v>349</v>
      </c>
      <c r="BH349" s="345">
        <v>1</v>
      </c>
      <c r="BI349" s="287"/>
      <c r="BJ349" s="339">
        <v>1</v>
      </c>
      <c r="BK349" s="339">
        <v>1</v>
      </c>
      <c r="BL349" s="378"/>
      <c r="BM349" s="287"/>
      <c r="BN349" s="379" cm="1">
        <f t="array" ref="BN349">SUM(BH349:BM349)</f>
        <v>3</v>
      </c>
      <c r="BO349" s="380"/>
      <c r="BP349" s="380"/>
    </row>
    <row r="350" ht="25.5" customHeight="1">
      <c r="BG350" t="s" s="264">
        <v>358</v>
      </c>
      <c r="BH350" s="381"/>
      <c r="BI350" s="378"/>
      <c r="BJ350" s="287"/>
      <c r="BK350" s="287"/>
      <c r="BL350" s="378"/>
      <c r="BM350" s="378"/>
      <c r="BN350" s="379" cm="1">
        <f t="array" ref="BN350">SUM(BH350:BM350)</f>
        <v>0</v>
      </c>
      <c r="BO350" s="380"/>
      <c r="BP350" s="380"/>
    </row>
    <row r="351" ht="25.5" customHeight="1">
      <c r="BG351" t="s" s="264">
        <v>359</v>
      </c>
      <c r="BH351" s="286"/>
      <c r="BI351" s="287"/>
      <c r="BJ351" s="287"/>
      <c r="BK351" s="287"/>
      <c r="BL351" s="287"/>
      <c r="BM351" s="378"/>
      <c r="BN351" s="379" cm="1">
        <f t="array" ref="BN351">SUM(BH351:BM351)</f>
        <v>0</v>
      </c>
      <c r="BO351" s="380"/>
      <c r="BP351" s="380"/>
    </row>
    <row r="352" ht="25.5" customHeight="1">
      <c r="BG352" t="s" s="264">
        <v>360</v>
      </c>
      <c r="BH352" s="381"/>
      <c r="BI352" s="287"/>
      <c r="BJ352" s="287"/>
      <c r="BK352" s="287"/>
      <c r="BL352" s="287"/>
      <c r="BM352" s="378"/>
      <c r="BN352" s="379" cm="1">
        <f t="array" ref="BN352">SUM(BH352:BM352)</f>
        <v>0</v>
      </c>
      <c r="BO352" s="380"/>
      <c r="BP352" s="380"/>
    </row>
    <row r="353" ht="25.5" customHeight="1">
      <c r="BG353" t="s" s="264">
        <v>363</v>
      </c>
      <c r="BH353" s="286"/>
      <c r="BI353" s="287"/>
      <c r="BJ353" s="287"/>
      <c r="BK353" s="287"/>
      <c r="BL353" s="287"/>
      <c r="BM353" s="287"/>
      <c r="BN353" s="379" cm="1">
        <f t="array" ref="BN353">SUM(BH353:BM353)</f>
        <v>0</v>
      </c>
      <c r="BO353" s="380"/>
      <c r="BP353" s="380"/>
    </row>
    <row r="354" ht="25.5" customHeight="1">
      <c r="BG354" t="s" s="264">
        <v>355</v>
      </c>
      <c r="BH354" s="286"/>
      <c r="BI354" s="287"/>
      <c r="BJ354" s="287"/>
      <c r="BK354" s="287"/>
      <c r="BL354" s="287"/>
      <c r="BM354" s="287"/>
      <c r="BN354" s="379" cm="1">
        <f t="array" ref="BN354">SUM(BH354:BM354)</f>
        <v>0</v>
      </c>
      <c r="BO354" s="380"/>
      <c r="BP354" s="380"/>
    </row>
    <row r="355" ht="25.5" customHeight="1">
      <c r="BG355" t="s" s="264">
        <v>357</v>
      </c>
      <c r="BH355" s="286"/>
      <c r="BI355" s="287"/>
      <c r="BJ355" s="287"/>
      <c r="BK355" s="287"/>
      <c r="BL355" s="287"/>
      <c r="BM355" s="287"/>
      <c r="BN355" s="379" cm="1">
        <f t="array" ref="BN355">SUM(BH355:BM355)</f>
        <v>0</v>
      </c>
      <c r="BO355" s="380"/>
      <c r="BP355" s="380"/>
    </row>
    <row r="356" ht="25.5" customHeight="1">
      <c r="BG356" t="s" s="255">
        <v>365</v>
      </c>
      <c r="BH356" s="286"/>
      <c r="BI356" s="339">
        <v>1</v>
      </c>
      <c r="BJ356" s="287"/>
      <c r="BK356" s="287"/>
      <c r="BL356" s="339">
        <v>1</v>
      </c>
      <c r="BM356" s="287"/>
      <c r="BN356" s="379" cm="1">
        <f t="array" ref="BN356">SUM(BH356:BM356)</f>
        <v>2</v>
      </c>
      <c r="BO356" s="380"/>
      <c r="BP356" s="380"/>
    </row>
    <row r="357" ht="25.5" customHeight="1">
      <c r="BG357" t="s" s="264">
        <v>368</v>
      </c>
      <c r="BH357" s="345">
        <v>1</v>
      </c>
      <c r="BI357" s="339">
        <v>1</v>
      </c>
      <c r="BJ357" s="433">
        <v>2</v>
      </c>
      <c r="BK357" s="339">
        <v>1</v>
      </c>
      <c r="BL357" s="433">
        <v>2</v>
      </c>
      <c r="BM357" s="339">
        <v>1</v>
      </c>
      <c r="BN357" s="379" cm="1">
        <f t="array" ref="BN357">SUM(BH357:BM357)</f>
        <v>8</v>
      </c>
      <c r="BO357" s="380"/>
      <c r="BP357" s="380"/>
    </row>
    <row r="358" ht="25.5" customHeight="1">
      <c r="BG358" t="s" s="264">
        <v>371</v>
      </c>
      <c r="BH358" s="345">
        <v>1</v>
      </c>
      <c r="BI358" s="339">
        <v>1</v>
      </c>
      <c r="BJ358" s="433">
        <v>2</v>
      </c>
      <c r="BK358" s="339">
        <v>1</v>
      </c>
      <c r="BL358" s="339">
        <v>1</v>
      </c>
      <c r="BM358" s="339">
        <v>1</v>
      </c>
      <c r="BN358" s="379" cm="1">
        <f t="array" ref="BN358">SUM(BH358:BM358)</f>
        <v>7</v>
      </c>
      <c r="BO358" s="380"/>
      <c r="BP358" s="380"/>
    </row>
    <row r="359" ht="25.5" customHeight="1">
      <c r="BG359" t="s" s="264">
        <v>437</v>
      </c>
      <c r="BH359" s="286"/>
      <c r="BI359" s="287"/>
      <c r="BJ359" s="339">
        <v>1</v>
      </c>
      <c r="BK359" s="287"/>
      <c r="BL359" s="287"/>
      <c r="BM359" s="287"/>
      <c r="BN359" s="379" cm="1">
        <f t="array" ref="BN359">SUM(BH359:BM359)</f>
        <v>1</v>
      </c>
      <c r="BO359" s="380"/>
      <c r="BP359" s="380"/>
    </row>
    <row r="360" ht="25.5" customHeight="1">
      <c r="BG360" t="s" s="264">
        <v>439</v>
      </c>
      <c r="BH360" s="345">
        <v>1</v>
      </c>
      <c r="BI360" s="287"/>
      <c r="BJ360" s="339">
        <v>1</v>
      </c>
      <c r="BK360" s="339">
        <v>1</v>
      </c>
      <c r="BL360" s="287"/>
      <c r="BM360" s="287"/>
      <c r="BN360" s="379" cm="1">
        <f t="array" ref="BN360">SUM(BH360:BM360)</f>
        <v>3</v>
      </c>
      <c r="BO360" s="380"/>
      <c r="BP360" s="380"/>
    </row>
    <row r="361" ht="25.5" customHeight="1">
      <c r="BG361" t="s" s="264">
        <v>444</v>
      </c>
      <c r="BH361" s="345">
        <v>1</v>
      </c>
      <c r="BI361" s="378"/>
      <c r="BJ361" s="339">
        <v>1</v>
      </c>
      <c r="BK361" s="287"/>
      <c r="BL361" s="339">
        <v>1</v>
      </c>
      <c r="BM361" s="378"/>
      <c r="BN361" s="379" cm="1">
        <f t="array" ref="BN361">SUM(BH361:BM361)</f>
        <v>3</v>
      </c>
      <c r="BO361" s="380"/>
      <c r="BP361" s="380"/>
    </row>
    <row r="362" ht="25.5" customHeight="1">
      <c r="BG362" t="s" s="264">
        <v>102</v>
      </c>
      <c r="BH362" s="381"/>
      <c r="BI362" s="378"/>
      <c r="BJ362" s="378"/>
      <c r="BK362" s="287"/>
      <c r="BL362" s="287"/>
      <c r="BM362" s="378"/>
      <c r="BN362" s="379" cm="1">
        <f t="array" ref="BN362">SUM(BH362:BM362)</f>
        <v>0</v>
      </c>
      <c r="BO362" s="380"/>
      <c r="BP362" s="380"/>
    </row>
    <row r="363" ht="25.5" customHeight="1">
      <c r="BG363" t="s" s="264">
        <v>102</v>
      </c>
      <c r="BH363" s="381"/>
      <c r="BI363" s="378"/>
      <c r="BJ363" s="378"/>
      <c r="BK363" s="378"/>
      <c r="BL363" s="378"/>
      <c r="BM363" s="436"/>
      <c r="BN363" s="379" cm="1">
        <f t="array" ref="BN363">SUM(BH363:BM363)</f>
        <v>0</v>
      </c>
      <c r="BO363" s="380"/>
      <c r="BP363" s="380"/>
    </row>
    <row r="364" ht="25.5" customHeight="1">
      <c r="BG364" t="s" s="386">
        <v>30</v>
      </c>
      <c r="BH364" s="387" cm="1">
        <f t="array" ref="BH364">SUM(BH310:BH363)</f>
        <v>13</v>
      </c>
      <c r="BI364" s="379" cm="1">
        <f t="array" ref="BI364">SUM(BI310:BI363)</f>
        <v>13</v>
      </c>
      <c r="BJ364" s="379" cm="1">
        <f t="array" ref="BJ364">SUM(BJ310:BJ363)</f>
        <v>16</v>
      </c>
      <c r="BK364" s="379" cm="1">
        <f t="array" ref="BK364">SUM(BK310:BK363)</f>
        <v>10</v>
      </c>
      <c r="BL364" s="379" cm="1">
        <f t="array" ref="BL364">SUM(BL310:BL363)</f>
        <v>9</v>
      </c>
      <c r="BM364" s="379" cm="1">
        <f t="array" ref="BM364">SUM(BM310:BM363)</f>
        <v>8</v>
      </c>
      <c r="BN364" s="379" cm="1">
        <f t="array" ref="BN364">SUM(BN310:BN363)</f>
        <v>69</v>
      </c>
      <c r="BO364" s="380"/>
      <c r="BP364" s="380"/>
    </row>
    <row r="366" ht="48.15" customHeight="1">
      <c r="BQ366" s="371"/>
      <c r="BR366" t="s" s="372">
        <v>492</v>
      </c>
      <c r="BS366" t="s" s="372">
        <v>493</v>
      </c>
      <c r="BT366" t="s" s="372">
        <v>494</v>
      </c>
      <c r="BU366" t="s" s="372">
        <v>495</v>
      </c>
      <c r="BV366" s="371"/>
      <c r="BW366" s="371"/>
      <c r="BX366" t="s" s="372">
        <v>53</v>
      </c>
      <c r="BY366" t="s" s="372">
        <v>67</v>
      </c>
      <c r="BZ366" t="s" s="372">
        <v>160</v>
      </c>
    </row>
    <row r="367" ht="30.25" customHeight="1">
      <c r="BQ367" t="s" s="333">
        <v>35</v>
      </c>
      <c r="BR367" s="374"/>
      <c r="BS367" s="375"/>
      <c r="BT367" s="375"/>
      <c r="BU367" s="375"/>
      <c r="BV367" s="375"/>
      <c r="BW367" s="336"/>
      <c r="BX367" s="376" cm="1">
        <f t="array" ref="BX367">SUM(BR367:BW367)</f>
        <v>0</v>
      </c>
      <c r="BY367" s="377"/>
      <c r="BZ367" s="377"/>
    </row>
    <row r="368" ht="29.95" customHeight="1">
      <c r="BQ368" t="s" s="264">
        <v>47</v>
      </c>
      <c r="BR368" s="381"/>
      <c r="BS368" s="378"/>
      <c r="BT368" s="287"/>
      <c r="BU368" s="287"/>
      <c r="BV368" s="287"/>
      <c r="BW368" s="378"/>
      <c r="BX368" s="379" cm="1">
        <f t="array" ref="BX368">SUM(BR368:BW368)</f>
        <v>0</v>
      </c>
      <c r="BY368" s="380"/>
      <c r="BZ368" s="380"/>
    </row>
    <row r="369" ht="29.95" customHeight="1">
      <c r="BQ369" t="s" s="341">
        <v>10</v>
      </c>
      <c r="BR369" s="381"/>
      <c r="BS369" s="287"/>
      <c r="BT369" s="287"/>
      <c r="BU369" s="287"/>
      <c r="BV369" s="378"/>
      <c r="BW369" s="378"/>
      <c r="BX369" s="379" cm="1">
        <f t="array" ref="BX369">SUM(BR369:BW369)</f>
        <v>0</v>
      </c>
      <c r="BY369" s="380"/>
      <c r="BZ369" s="380"/>
    </row>
    <row r="370" ht="30.45" customHeight="1">
      <c r="BQ370" t="s" s="264">
        <v>32</v>
      </c>
      <c r="BR370" s="381"/>
      <c r="BS370" s="378"/>
      <c r="BT370" s="378"/>
      <c r="BU370" s="382"/>
      <c r="BV370" s="378"/>
      <c r="BW370" s="378"/>
      <c r="BX370" s="379" cm="1">
        <f t="array" ref="BX370">SUM(BR370:BW370)</f>
        <v>0</v>
      </c>
      <c r="BY370" s="380"/>
      <c r="BZ370" s="380"/>
    </row>
    <row r="371" ht="29.95" customHeight="1">
      <c r="BQ371" t="s" s="264">
        <v>16</v>
      </c>
      <c r="BR371" s="381"/>
      <c r="BS371" s="287"/>
      <c r="BT371" s="287"/>
      <c r="BU371" s="287"/>
      <c r="BV371" s="287"/>
      <c r="BW371" s="378"/>
      <c r="BX371" s="379" cm="1">
        <f t="array" ref="BX371">SUM(BR371:BW371)</f>
        <v>0</v>
      </c>
      <c r="BY371" s="380"/>
      <c r="BZ371" s="380"/>
    </row>
    <row r="372" ht="29.95" customHeight="1">
      <c r="BQ372" t="s" s="264">
        <v>18</v>
      </c>
      <c r="BR372" s="381"/>
      <c r="BS372" s="378"/>
      <c r="BT372" s="382"/>
      <c r="BU372" s="378"/>
      <c r="BV372" s="378"/>
      <c r="BW372" s="378"/>
      <c r="BX372" s="379" cm="1">
        <f t="array" ref="BX372">SUM(BR372:BW372)</f>
        <v>0</v>
      </c>
      <c r="BY372" s="380"/>
      <c r="BZ372" s="380"/>
    </row>
    <row r="373" ht="29.95" customHeight="1">
      <c r="BQ373" t="s" s="264">
        <v>287</v>
      </c>
      <c r="BR373" s="381"/>
      <c r="BS373" s="378"/>
      <c r="BT373" s="378"/>
      <c r="BU373" s="378"/>
      <c r="BV373" s="378"/>
      <c r="BW373" s="378"/>
      <c r="BX373" s="379" cm="1">
        <f t="array" ref="BX373">SUM(BR373:BW373)</f>
        <v>0</v>
      </c>
      <c r="BY373" s="380"/>
      <c r="BZ373" s="380"/>
    </row>
    <row r="374" ht="29.95" customHeight="1">
      <c r="BQ374" t="s" s="264">
        <v>45</v>
      </c>
      <c r="BR374" s="381"/>
      <c r="BS374" s="287"/>
      <c r="BT374" s="287"/>
      <c r="BU374" s="287"/>
      <c r="BV374" s="378"/>
      <c r="BW374" s="378"/>
      <c r="BX374" s="379" cm="1">
        <f t="array" ref="BX374">SUM(BR374:BW374)</f>
        <v>0</v>
      </c>
      <c r="BY374" s="380"/>
      <c r="BZ374" s="380"/>
    </row>
    <row r="375" ht="29.95" customHeight="1">
      <c r="BQ375" t="s" s="264">
        <v>154</v>
      </c>
      <c r="BR375" s="381"/>
      <c r="BS375" s="378"/>
      <c r="BT375" s="287"/>
      <c r="BU375" s="378"/>
      <c r="BV375" s="378"/>
      <c r="BW375" s="378"/>
      <c r="BX375" s="379" cm="1">
        <f t="array" ref="BX375">SUM(BR375:BW375)</f>
        <v>0</v>
      </c>
      <c r="BY375" s="380"/>
      <c r="BZ375" s="380"/>
    </row>
    <row r="376" ht="29.95" customHeight="1">
      <c r="BQ376" t="s" s="264">
        <v>257</v>
      </c>
      <c r="BR376" s="286"/>
      <c r="BS376" s="287"/>
      <c r="BT376" s="287"/>
      <c r="BU376" s="287"/>
      <c r="BV376" s="287"/>
      <c r="BW376" s="378"/>
      <c r="BX376" s="379" cm="1">
        <f t="array" ref="BX376">SUM(BR376:BW376)</f>
        <v>0</v>
      </c>
      <c r="BY376" s="380"/>
      <c r="BZ376" s="380"/>
    </row>
    <row r="377" ht="29.95" customHeight="1">
      <c r="BQ377" t="s" s="264">
        <v>391</v>
      </c>
      <c r="BR377" s="381"/>
      <c r="BS377" s="378"/>
      <c r="BT377" s="287"/>
      <c r="BU377" s="382"/>
      <c r="BV377" s="287"/>
      <c r="BW377" s="287"/>
      <c r="BX377" s="379" cm="1">
        <f t="array" ref="BX377">SUM(BR377:BW377)</f>
        <v>0</v>
      </c>
      <c r="BY377" s="380"/>
      <c r="BZ377" s="380"/>
    </row>
    <row r="378" ht="29.95" customHeight="1">
      <c r="BQ378" t="s" s="264">
        <v>393</v>
      </c>
      <c r="BR378" s="381"/>
      <c r="BS378" s="378"/>
      <c r="BT378" s="378"/>
      <c r="BU378" s="382"/>
      <c r="BV378" s="378"/>
      <c r="BW378" s="378"/>
      <c r="BX378" s="379" cm="1">
        <f t="array" ref="BX378">SUM(BR378:BW378)</f>
        <v>0</v>
      </c>
      <c r="BY378" s="380"/>
      <c r="BZ378" s="380"/>
    </row>
    <row r="379" ht="29.95" customHeight="1">
      <c r="BQ379" t="s" s="264">
        <v>395</v>
      </c>
      <c r="BR379" s="381"/>
      <c r="BS379" s="378"/>
      <c r="BT379" s="378"/>
      <c r="BU379" s="378"/>
      <c r="BV379" s="378"/>
      <c r="BW379" s="378"/>
      <c r="BX379" s="379" cm="1">
        <f t="array" ref="BX379">SUM(BR379:BW379)</f>
        <v>0</v>
      </c>
      <c r="BY379" s="380"/>
      <c r="BZ379" s="380"/>
    </row>
    <row r="380" ht="29.95" customHeight="1">
      <c r="BQ380" t="s" s="264">
        <v>155</v>
      </c>
      <c r="BR380" s="345">
        <v>1</v>
      </c>
      <c r="BS380" s="287"/>
      <c r="BT380" s="287"/>
      <c r="BU380" s="382"/>
      <c r="BV380" s="378"/>
      <c r="BW380" s="378"/>
      <c r="BX380" s="379" cm="1">
        <f t="array" ref="BX380">SUM(BR380:BW380)</f>
        <v>1</v>
      </c>
      <c r="BY380" s="380"/>
      <c r="BZ380" s="380"/>
    </row>
    <row r="381" ht="29.95" customHeight="1">
      <c r="BQ381" t="s" s="341">
        <v>37</v>
      </c>
      <c r="BR381" s="381"/>
      <c r="BS381" s="287"/>
      <c r="BT381" s="378"/>
      <c r="BU381" s="382"/>
      <c r="BV381" s="378"/>
      <c r="BW381" s="378"/>
      <c r="BX381" s="379" cm="1">
        <f t="array" ref="BX381">SUM(BR381:BW381)</f>
        <v>0</v>
      </c>
      <c r="BY381" s="380"/>
      <c r="BZ381" s="380"/>
    </row>
    <row r="382" ht="29.95" customHeight="1">
      <c r="BQ382" t="s" s="341">
        <v>469</v>
      </c>
      <c r="BR382" s="381"/>
      <c r="BS382" s="287"/>
      <c r="BT382" s="378"/>
      <c r="BU382" s="382"/>
      <c r="BV382" s="378"/>
      <c r="BW382" s="378"/>
      <c r="BX382" s="379" cm="1">
        <f t="array" ref="BX382">SUM(BR382:BW382)</f>
        <v>0</v>
      </c>
      <c r="BY382" s="380"/>
      <c r="BZ382" s="380"/>
    </row>
    <row r="383" ht="29.95" customHeight="1">
      <c r="BQ383" t="s" s="264">
        <v>19</v>
      </c>
      <c r="BR383" s="381"/>
      <c r="BS383" s="378"/>
      <c r="BT383" s="378"/>
      <c r="BU383" s="382"/>
      <c r="BV383" s="378"/>
      <c r="BW383" s="378"/>
      <c r="BX383" s="379" cm="1">
        <f t="array" ref="BX383">SUM(BR383:BW383)</f>
        <v>0</v>
      </c>
      <c r="BY383" s="380"/>
      <c r="BZ383" s="380"/>
    </row>
    <row r="384" ht="29.95" customHeight="1">
      <c r="BQ384" t="s" s="264">
        <v>239</v>
      </c>
      <c r="BR384" s="381"/>
      <c r="BS384" s="378"/>
      <c r="BT384" s="378"/>
      <c r="BU384" s="382"/>
      <c r="BV384" s="378"/>
      <c r="BW384" s="378"/>
      <c r="BX384" s="379" cm="1">
        <f t="array" ref="BX384">SUM(BR384:BW384)</f>
        <v>0</v>
      </c>
      <c r="BY384" s="380"/>
      <c r="BZ384" s="380"/>
    </row>
    <row r="385" ht="29.95" customHeight="1">
      <c r="BQ385" t="s" s="264">
        <v>262</v>
      </c>
      <c r="BR385" s="345">
        <v>1</v>
      </c>
      <c r="BS385" s="378"/>
      <c r="BT385" s="287"/>
      <c r="BU385" s="378"/>
      <c r="BV385" s="287"/>
      <c r="BW385" s="378"/>
      <c r="BX385" s="379" cm="1">
        <f t="array" ref="BX385">SUM(BR385:BW385)</f>
        <v>1</v>
      </c>
      <c r="BY385" s="380"/>
      <c r="BZ385" s="380"/>
    </row>
    <row r="386" ht="29.95" customHeight="1">
      <c r="BQ386" t="s" s="264">
        <v>265</v>
      </c>
      <c r="BR386" s="286"/>
      <c r="BS386" s="287"/>
      <c r="BT386" s="287"/>
      <c r="BU386" s="382"/>
      <c r="BV386" s="287"/>
      <c r="BW386" s="378"/>
      <c r="BX386" s="379" cm="1">
        <f t="array" ref="BX386">SUM(BR386:BW386)</f>
        <v>0</v>
      </c>
      <c r="BY386" s="380"/>
      <c r="BZ386" s="380"/>
    </row>
    <row r="387" ht="29.95" customHeight="1">
      <c r="BQ387" t="s" s="264">
        <v>250</v>
      </c>
      <c r="BR387" s="286"/>
      <c r="BS387" s="287"/>
      <c r="BT387" s="287"/>
      <c r="BU387" s="287"/>
      <c r="BV387" s="287"/>
      <c r="BW387" s="378"/>
      <c r="BX387" s="379" cm="1">
        <f t="array" ref="BX387">SUM(BR387:BW387)</f>
        <v>0</v>
      </c>
      <c r="BY387" s="380"/>
      <c r="BZ387" s="380"/>
    </row>
    <row r="388" ht="29.95" customHeight="1">
      <c r="BQ388" t="s" s="264">
        <v>268</v>
      </c>
      <c r="BR388" s="381"/>
      <c r="BS388" s="378"/>
      <c r="BT388" s="378"/>
      <c r="BU388" s="382"/>
      <c r="BV388" s="378"/>
      <c r="BW388" s="378"/>
      <c r="BX388" s="379" cm="1">
        <f t="array" ref="BX388">SUM(BR388:BW388)</f>
        <v>0</v>
      </c>
      <c r="BY388" s="380"/>
      <c r="BZ388" s="380"/>
    </row>
    <row r="389" ht="29.95" customHeight="1">
      <c r="BQ389" t="s" s="264">
        <v>156</v>
      </c>
      <c r="BR389" s="345">
        <v>1</v>
      </c>
      <c r="BS389" s="378"/>
      <c r="BT389" s="378"/>
      <c r="BU389" s="382"/>
      <c r="BV389" s="378"/>
      <c r="BW389" s="378"/>
      <c r="BX389" s="379" cm="1">
        <f t="array" ref="BX389">SUM(BR389:BW389)</f>
        <v>1</v>
      </c>
      <c r="BY389" s="380"/>
      <c r="BZ389" s="380"/>
    </row>
    <row r="390" ht="29.95" customHeight="1">
      <c r="BQ390" t="s" s="264">
        <v>259</v>
      </c>
      <c r="BR390" s="381"/>
      <c r="BS390" s="378"/>
      <c r="BT390" s="378"/>
      <c r="BU390" s="382"/>
      <c r="BV390" s="378"/>
      <c r="BW390" s="378"/>
      <c r="BX390" s="379" cm="1">
        <f t="array" ref="BX390">SUM(BR390:BW390)</f>
        <v>0</v>
      </c>
      <c r="BY390" s="380"/>
      <c r="BZ390" s="380"/>
    </row>
    <row r="391" ht="29.95" customHeight="1">
      <c r="BQ391" t="s" s="264">
        <v>274</v>
      </c>
      <c r="BR391" s="381"/>
      <c r="BS391" s="378"/>
      <c r="BT391" s="378"/>
      <c r="BU391" s="382"/>
      <c r="BV391" s="378"/>
      <c r="BW391" s="378"/>
      <c r="BX391" s="379" cm="1">
        <f t="array" ref="BX391">SUM(BR391:BW391)</f>
        <v>0</v>
      </c>
      <c r="BY391" s="380"/>
      <c r="BZ391" s="380"/>
    </row>
    <row r="392" ht="29.95" customHeight="1">
      <c r="BQ392" t="s" s="264">
        <v>48</v>
      </c>
      <c r="BR392" s="381"/>
      <c r="BS392" s="378"/>
      <c r="BT392" s="287"/>
      <c r="BU392" s="382"/>
      <c r="BV392" s="378"/>
      <c r="BW392" s="378"/>
      <c r="BX392" s="379" cm="1">
        <f t="array" ref="BX392">SUM(BR392:BW392)</f>
        <v>0</v>
      </c>
      <c r="BY392" s="380"/>
      <c r="BZ392" s="380"/>
    </row>
    <row r="393" ht="29.95" customHeight="1">
      <c r="BQ393" t="s" s="264">
        <v>49</v>
      </c>
      <c r="BR393" s="381"/>
      <c r="BS393" s="378"/>
      <c r="BT393" s="287"/>
      <c r="BU393" s="382"/>
      <c r="BV393" s="378"/>
      <c r="BW393" s="378"/>
      <c r="BX393" s="379" cm="1">
        <f t="array" ref="BX393">SUM(BR393:BW393)</f>
        <v>0</v>
      </c>
      <c r="BY393" s="380"/>
      <c r="BZ393" s="380"/>
    </row>
    <row r="394" ht="29.95" customHeight="1">
      <c r="BQ394" t="s" s="264">
        <v>50</v>
      </c>
      <c r="BR394" s="381"/>
      <c r="BS394" s="378"/>
      <c r="BT394" s="378"/>
      <c r="BU394" s="378"/>
      <c r="BV394" s="287"/>
      <c r="BW394" s="378"/>
      <c r="BX394" s="379" cm="1">
        <f t="array" ref="BX394">SUM(BR394:BW394)</f>
        <v>0</v>
      </c>
      <c r="BY394" s="380"/>
      <c r="BZ394" s="380"/>
    </row>
    <row r="395" ht="29.95" customHeight="1">
      <c r="BQ395" t="s" s="264">
        <v>51</v>
      </c>
      <c r="BR395" s="381"/>
      <c r="BS395" s="378"/>
      <c r="BT395" s="378"/>
      <c r="BU395" s="382"/>
      <c r="BV395" s="378"/>
      <c r="BW395" s="378"/>
      <c r="BX395" s="379" cm="1">
        <f t="array" ref="BX395">SUM(BR395:BW395)</f>
        <v>0</v>
      </c>
      <c r="BY395" s="380"/>
      <c r="BZ395" s="380"/>
    </row>
    <row r="396" ht="29.95" customHeight="1">
      <c r="BQ396" t="s" s="264">
        <v>52</v>
      </c>
      <c r="BR396" s="381"/>
      <c r="BS396" s="378"/>
      <c r="BT396" s="378"/>
      <c r="BU396" s="378"/>
      <c r="BV396" s="287"/>
      <c r="BW396" s="378"/>
      <c r="BX396" s="379" cm="1">
        <f t="array" ref="BX396">SUM(BR396:BW396)</f>
        <v>0</v>
      </c>
      <c r="BY396" s="380"/>
      <c r="BZ396" s="380"/>
    </row>
    <row r="397" ht="29.95" customHeight="1">
      <c r="BQ397" t="s" s="264">
        <v>115</v>
      </c>
      <c r="BR397" s="381"/>
      <c r="BS397" s="378"/>
      <c r="BT397" s="287"/>
      <c r="BU397" s="382"/>
      <c r="BV397" s="378"/>
      <c r="BW397" s="378"/>
      <c r="BX397" s="379" cm="1">
        <f t="array" ref="BX397">SUM(BR397:BW397)</f>
        <v>0</v>
      </c>
      <c r="BY397" s="379">
        <v>1</v>
      </c>
      <c r="BZ397" s="380"/>
    </row>
    <row r="398" ht="29.95" customHeight="1">
      <c r="BQ398" t="s" s="264">
        <v>197</v>
      </c>
      <c r="BR398" s="381"/>
      <c r="BS398" s="378"/>
      <c r="BT398" s="378"/>
      <c r="BU398" s="382"/>
      <c r="BV398" s="378"/>
      <c r="BW398" s="378"/>
      <c r="BX398" s="379" cm="1">
        <f t="array" ref="BX398">SUM(BR398:BW398)</f>
        <v>0</v>
      </c>
      <c r="BY398" s="380"/>
      <c r="BZ398" s="380"/>
    </row>
    <row r="399" ht="29.95" customHeight="1">
      <c r="BQ399" t="s" s="264">
        <v>46</v>
      </c>
      <c r="BR399" s="381"/>
      <c r="BS399" s="378"/>
      <c r="BT399" s="378"/>
      <c r="BU399" s="382"/>
      <c r="BV399" s="378"/>
      <c r="BW399" s="378"/>
      <c r="BX399" s="379" cm="1">
        <f t="array" ref="BX399">SUM(BR399:BW399)</f>
        <v>0</v>
      </c>
      <c r="BY399" s="380"/>
      <c r="BZ399" s="380"/>
    </row>
    <row r="400" ht="29.95" customHeight="1">
      <c r="BQ400" t="s" s="264">
        <v>191</v>
      </c>
      <c r="BR400" s="381"/>
      <c r="BS400" s="287"/>
      <c r="BT400" s="287"/>
      <c r="BU400" s="287"/>
      <c r="BV400" s="378"/>
      <c r="BW400" s="378"/>
      <c r="BX400" s="379" cm="1">
        <f t="array" ref="BX400">SUM(BR400:BW400)</f>
        <v>0</v>
      </c>
      <c r="BY400" s="380"/>
      <c r="BZ400" s="380"/>
    </row>
    <row r="401" ht="29.95" customHeight="1">
      <c r="BQ401" t="s" s="264">
        <v>109</v>
      </c>
      <c r="BR401" s="345">
        <v>1</v>
      </c>
      <c r="BS401" s="378"/>
      <c r="BT401" s="378"/>
      <c r="BU401" s="287"/>
      <c r="BV401" s="378"/>
      <c r="BW401" s="378"/>
      <c r="BX401" s="379" cm="1">
        <f t="array" ref="BX401">SUM(BR401:BW401)</f>
        <v>1</v>
      </c>
      <c r="BY401" s="380"/>
      <c r="BZ401" s="380"/>
    </row>
    <row r="402" ht="29.95" customHeight="1">
      <c r="BQ402" t="s" s="264">
        <v>270</v>
      </c>
      <c r="BR402" s="381"/>
      <c r="BS402" s="378"/>
      <c r="BT402" s="378"/>
      <c r="BU402" s="382"/>
      <c r="BV402" s="378"/>
      <c r="BW402" s="378"/>
      <c r="BX402" s="379" cm="1">
        <f t="array" ref="BX402">SUM(BR402:BW402)</f>
        <v>0</v>
      </c>
      <c r="BY402" s="380"/>
      <c r="BZ402" s="380"/>
    </row>
    <row r="403" ht="29.95" customHeight="1">
      <c r="BQ403" t="s" s="264">
        <v>272</v>
      </c>
      <c r="BR403" s="381"/>
      <c r="BS403" s="287"/>
      <c r="BT403" s="378"/>
      <c r="BU403" s="287"/>
      <c r="BV403" s="287"/>
      <c r="BW403" s="378"/>
      <c r="BX403" s="379" cm="1">
        <f t="array" ref="BX403">SUM(BR403:BW403)</f>
        <v>0</v>
      </c>
      <c r="BY403" s="380"/>
      <c r="BZ403" s="380"/>
    </row>
    <row r="404" ht="29.95" customHeight="1">
      <c r="BQ404" t="s" s="264">
        <v>319</v>
      </c>
      <c r="BR404" s="381"/>
      <c r="BS404" s="378"/>
      <c r="BT404" s="378"/>
      <c r="BU404" s="382"/>
      <c r="BV404" s="378"/>
      <c r="BW404" s="378"/>
      <c r="BX404" s="379" cm="1">
        <f t="array" ref="BX404">SUM(BR404:BW404)</f>
        <v>0</v>
      </c>
      <c r="BY404" s="380"/>
      <c r="BZ404" s="380"/>
    </row>
    <row r="405" ht="29.95" customHeight="1">
      <c r="BQ405" t="s" s="264">
        <v>352</v>
      </c>
      <c r="BR405" s="286"/>
      <c r="BS405" s="378"/>
      <c r="BT405" s="287"/>
      <c r="BU405" s="287"/>
      <c r="BV405" s="378"/>
      <c r="BW405" s="287"/>
      <c r="BX405" s="379" cm="1">
        <f t="array" ref="BX405">SUM(BR405:BW405)</f>
        <v>0</v>
      </c>
      <c r="BY405" s="380"/>
      <c r="BZ405" s="380"/>
    </row>
    <row r="406" ht="29.95" customHeight="1">
      <c r="BQ406" t="s" s="264">
        <v>349</v>
      </c>
      <c r="BR406" s="345">
        <v>1</v>
      </c>
      <c r="BS406" s="287"/>
      <c r="BT406" s="287"/>
      <c r="BU406" s="287"/>
      <c r="BV406" s="378"/>
      <c r="BW406" s="287"/>
      <c r="BX406" s="379" cm="1">
        <f t="array" ref="BX406">SUM(BR406:BW406)</f>
        <v>1</v>
      </c>
      <c r="BY406" s="380"/>
      <c r="BZ406" s="380"/>
    </row>
    <row r="407" ht="29.95" customHeight="1">
      <c r="BQ407" t="s" s="264">
        <v>358</v>
      </c>
      <c r="BR407" s="381"/>
      <c r="BS407" s="378"/>
      <c r="BT407" s="287"/>
      <c r="BU407" s="287"/>
      <c r="BV407" s="378"/>
      <c r="BW407" s="378"/>
      <c r="BX407" s="379" cm="1">
        <f t="array" ref="BX407">SUM(BR407:BW407)</f>
        <v>0</v>
      </c>
      <c r="BY407" s="380"/>
      <c r="BZ407" s="380"/>
    </row>
    <row r="408" ht="29.95" customHeight="1">
      <c r="BQ408" t="s" s="264">
        <v>359</v>
      </c>
      <c r="BR408" s="286"/>
      <c r="BS408" s="287"/>
      <c r="BT408" s="287"/>
      <c r="BU408" s="287"/>
      <c r="BV408" s="287"/>
      <c r="BW408" s="378"/>
      <c r="BX408" s="379" cm="1">
        <f t="array" ref="BX408">SUM(BR408:BW408)</f>
        <v>0</v>
      </c>
      <c r="BY408" s="380"/>
      <c r="BZ408" s="380"/>
    </row>
    <row r="409" ht="29.95" customHeight="1">
      <c r="BQ409" t="s" s="264">
        <v>360</v>
      </c>
      <c r="BR409" s="381"/>
      <c r="BS409" s="287"/>
      <c r="BT409" s="287"/>
      <c r="BU409" s="287"/>
      <c r="BV409" s="287"/>
      <c r="BW409" s="378"/>
      <c r="BX409" s="379" cm="1">
        <f t="array" ref="BX409">SUM(BR409:BW409)</f>
        <v>0</v>
      </c>
      <c r="BY409" s="380"/>
      <c r="BZ409" s="380"/>
    </row>
    <row r="410" ht="29.95" customHeight="1">
      <c r="BQ410" t="s" s="264">
        <v>363</v>
      </c>
      <c r="BR410" s="286"/>
      <c r="BS410" s="287"/>
      <c r="BT410" s="287"/>
      <c r="BU410" s="287"/>
      <c r="BV410" s="287"/>
      <c r="BW410" s="287"/>
      <c r="BX410" s="379" cm="1">
        <f t="array" ref="BX410">SUM(BR410:BW410)</f>
        <v>0</v>
      </c>
      <c r="BY410" s="380"/>
      <c r="BZ410" s="380"/>
    </row>
    <row r="411" ht="29.95" customHeight="1">
      <c r="BQ411" t="s" s="264">
        <v>355</v>
      </c>
      <c r="BR411" s="286"/>
      <c r="BS411" s="287"/>
      <c r="BT411" s="287"/>
      <c r="BU411" s="287"/>
      <c r="BV411" s="287"/>
      <c r="BW411" s="287"/>
      <c r="BX411" s="379" cm="1">
        <f t="array" ref="BX411">SUM(BR411:BW411)</f>
        <v>0</v>
      </c>
      <c r="BY411" s="380"/>
      <c r="BZ411" s="380"/>
    </row>
    <row r="412" ht="29.95" customHeight="1">
      <c r="BQ412" t="s" s="264">
        <v>357</v>
      </c>
      <c r="BR412" s="286"/>
      <c r="BS412" s="287"/>
      <c r="BT412" s="287"/>
      <c r="BU412" s="287"/>
      <c r="BV412" s="287"/>
      <c r="BW412" s="287"/>
      <c r="BX412" s="379" cm="1">
        <f t="array" ref="BX412">SUM(BR412:BW412)</f>
        <v>0</v>
      </c>
      <c r="BY412" s="380"/>
      <c r="BZ412" s="380"/>
    </row>
    <row r="413" ht="29.95" customHeight="1">
      <c r="BQ413" t="s" s="255">
        <v>365</v>
      </c>
      <c r="BR413" s="286"/>
      <c r="BS413" s="287"/>
      <c r="BT413" s="287"/>
      <c r="BU413" s="287"/>
      <c r="BV413" s="287"/>
      <c r="BW413" s="287"/>
      <c r="BX413" s="379" cm="1">
        <f t="array" ref="BX413">SUM(BR413:BW413)</f>
        <v>0</v>
      </c>
      <c r="BY413" s="380"/>
      <c r="BZ413" s="380"/>
    </row>
    <row r="414" ht="29.95" customHeight="1">
      <c r="BQ414" t="s" s="264">
        <v>368</v>
      </c>
      <c r="BR414" s="345">
        <v>1</v>
      </c>
      <c r="BS414" s="287"/>
      <c r="BT414" s="287"/>
      <c r="BU414" s="287"/>
      <c r="BV414" s="287"/>
      <c r="BW414" s="287"/>
      <c r="BX414" s="379" cm="1">
        <f t="array" ref="BX414">SUM(BR414:BW414)</f>
        <v>1</v>
      </c>
      <c r="BY414" s="380"/>
      <c r="BZ414" s="380"/>
    </row>
    <row r="415" ht="29.95" customHeight="1">
      <c r="BQ415" t="s" s="264">
        <v>371</v>
      </c>
      <c r="BR415" s="345">
        <v>1</v>
      </c>
      <c r="BS415" s="287"/>
      <c r="BT415" s="287"/>
      <c r="BU415" s="287"/>
      <c r="BV415" s="287"/>
      <c r="BW415" s="287"/>
      <c r="BX415" s="379" cm="1">
        <f t="array" ref="BX415">SUM(BR415:BW415)</f>
        <v>1</v>
      </c>
      <c r="BY415" s="380"/>
      <c r="BZ415" s="380"/>
    </row>
    <row r="416" ht="29.95" customHeight="1">
      <c r="BQ416" t="s" s="264">
        <v>437</v>
      </c>
      <c r="BR416" s="286"/>
      <c r="BS416" s="287"/>
      <c r="BT416" s="287"/>
      <c r="BU416" s="287"/>
      <c r="BV416" s="287"/>
      <c r="BW416" s="287"/>
      <c r="BX416" s="379" cm="1">
        <f t="array" ref="BX416">SUM(BR416:BW416)</f>
        <v>0</v>
      </c>
      <c r="BY416" s="380"/>
      <c r="BZ416" s="380"/>
    </row>
    <row r="417" ht="29.95" customHeight="1">
      <c r="BQ417" t="s" s="264">
        <v>439</v>
      </c>
      <c r="BR417" s="345">
        <v>1</v>
      </c>
      <c r="BS417" s="287"/>
      <c r="BT417" s="287"/>
      <c r="BU417" s="287"/>
      <c r="BV417" s="287"/>
      <c r="BW417" s="287"/>
      <c r="BX417" s="379" cm="1">
        <f t="array" ref="BX417">SUM(BR417:BW417)</f>
        <v>1</v>
      </c>
      <c r="BY417" s="380"/>
      <c r="BZ417" s="380"/>
    </row>
    <row r="418" ht="29.95" customHeight="1">
      <c r="BQ418" t="s" s="264">
        <v>444</v>
      </c>
      <c r="BR418" s="286"/>
      <c r="BS418" s="287"/>
      <c r="BT418" s="287"/>
      <c r="BU418" s="287"/>
      <c r="BV418" s="287"/>
      <c r="BW418" s="287"/>
      <c r="BX418" s="379" cm="1">
        <f t="array" ref="BX418">SUM(BR418:BW418)</f>
        <v>0</v>
      </c>
      <c r="BY418" s="380"/>
      <c r="BZ418" s="380"/>
    </row>
    <row r="419" ht="29.95" customHeight="1">
      <c r="BQ419" t="s" s="264">
        <v>102</v>
      </c>
      <c r="BR419" s="381"/>
      <c r="BS419" s="378"/>
      <c r="BT419" s="378"/>
      <c r="BU419" s="287"/>
      <c r="BV419" s="287"/>
      <c r="BW419" s="378"/>
      <c r="BX419" s="379" cm="1">
        <f t="array" ref="BX419">SUM(BR419:BW419)</f>
        <v>0</v>
      </c>
      <c r="BY419" s="380"/>
      <c r="BZ419" s="380"/>
    </row>
    <row r="420" ht="29.95" customHeight="1">
      <c r="BQ420" t="s" s="264">
        <v>102</v>
      </c>
      <c r="BR420" s="381"/>
      <c r="BS420" s="378"/>
      <c r="BT420" s="378"/>
      <c r="BU420" s="378"/>
      <c r="BV420" s="378"/>
      <c r="BW420" s="436"/>
      <c r="BX420" s="379" cm="1">
        <f t="array" ref="BX420">SUM(BR420:BW420)</f>
        <v>0</v>
      </c>
      <c r="BY420" s="380"/>
      <c r="BZ420" s="380"/>
    </row>
    <row r="421" ht="29.95" customHeight="1">
      <c r="BQ421" t="s" s="386">
        <v>30</v>
      </c>
      <c r="BR421" s="387" cm="1">
        <f t="array" ref="BR421">SUM(BR367:BR392)</f>
        <v>3</v>
      </c>
      <c r="BS421" s="379" cm="1">
        <f t="array" ref="BS421">SUM(BS367:BS392)</f>
        <v>0</v>
      </c>
      <c r="BT421" s="379" cm="1">
        <f t="array" ref="BT421">SUM(BT367:BT392)</f>
        <v>0</v>
      </c>
      <c r="BU421" s="379" cm="1">
        <f t="array" ref="BU421">SUM(BU367:BU392)</f>
        <v>0</v>
      </c>
      <c r="BV421" s="379" cm="1">
        <f t="array" ref="BV421">SUM(BV367:BV420)</f>
        <v>0</v>
      </c>
      <c r="BW421" s="379" cm="1">
        <f t="array" ref="BW421">SUM(BW367:BW392)</f>
        <v>0</v>
      </c>
      <c r="BX421" s="379" cm="1">
        <f t="array" ref="BX421">SUM(BX367:BX392)</f>
        <v>3</v>
      </c>
      <c r="BY421" s="380"/>
      <c r="BZ421" s="380"/>
    </row>
  </sheetData>
  <mergeCells count="16">
    <mergeCell ref="B2:Q2"/>
    <mergeCell ref="C24:G24"/>
    <mergeCell ref="C29:F29"/>
    <mergeCell ref="C41:F41"/>
    <mergeCell ref="C30:I30"/>
    <mergeCell ref="C42:Q42"/>
    <mergeCell ref="D43:F43"/>
    <mergeCell ref="D44:F44"/>
    <mergeCell ref="D45:F45"/>
    <mergeCell ref="D46:F46"/>
    <mergeCell ref="D48:F48"/>
    <mergeCell ref="D47:F47"/>
    <mergeCell ref="AC134:AL134"/>
    <mergeCell ref="AM192:AV192"/>
    <mergeCell ref="AW250:BF250"/>
    <mergeCell ref="BG308:BP30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